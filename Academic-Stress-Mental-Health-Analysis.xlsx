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9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10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1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1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1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14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Ex15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Ex16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harts/chartEx17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Ex18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charts/chartEx19.xml" ContentType="application/vnd.ms-office.chartex+xml"/>
  <Override PartName="/xl/charts/style19.xml" ContentType="application/vnd.ms-office.chartstyle+xml"/>
  <Override PartName="/xl/charts/colors19.xml" ContentType="application/vnd.ms-office.chartcolorstyle+xml"/>
  <Override PartName="/xl/charts/chartEx20.xml" ContentType="application/vnd.ms-office.chartex+xml"/>
  <Override PartName="/xl/charts/style20.xml" ContentType="application/vnd.ms-office.chartstyle+xml"/>
  <Override PartName="/xl/charts/colors20.xml" ContentType="application/vnd.ms-office.chartcolorstyle+xml"/>
  <Override PartName="/xl/charts/chart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1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1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1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1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1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1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1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1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1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2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2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2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2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2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2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2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2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2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2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3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Ex21.xml" ContentType="application/vnd.ms-office.chartex+xml"/>
  <Override PartName="/xl/charts/style51.xml" ContentType="application/vnd.ms-office.chartstyle+xml"/>
  <Override PartName="/xl/charts/colors51.xml" ContentType="application/vnd.ms-office.chartcolorstyle+xml"/>
  <Override PartName="/xl/charts/chartEx22.xml" ContentType="application/vnd.ms-office.chartex+xml"/>
  <Override PartName="/xl/charts/style52.xml" ContentType="application/vnd.ms-office.chartstyle+xml"/>
  <Override PartName="/xl/charts/colors52.xml" ContentType="application/vnd.ms-office.chartcolorstyle+xml"/>
  <Override PartName="/xl/charts/chartEx23.xml" ContentType="application/vnd.ms-office.chartex+xml"/>
  <Override PartName="/xl/charts/style53.xml" ContentType="application/vnd.ms-office.chartstyle+xml"/>
  <Override PartName="/xl/charts/colors53.xml" ContentType="application/vnd.ms-office.chartcolorstyle+xml"/>
  <Override PartName="/xl/charts/chartEx24.xml" ContentType="application/vnd.ms-office.chartex+xml"/>
  <Override PartName="/xl/charts/style54.xml" ContentType="application/vnd.ms-office.chartstyle+xml"/>
  <Override PartName="/xl/charts/colors54.xml" ContentType="application/vnd.ms-office.chartcolorstyle+xml"/>
  <Override PartName="/xl/charts/chartEx25.xml" ContentType="application/vnd.ms-office.chartex+xml"/>
  <Override PartName="/xl/charts/style55.xml" ContentType="application/vnd.ms-office.chartstyle+xml"/>
  <Override PartName="/xl/charts/colors55.xml" ContentType="application/vnd.ms-office.chartcolorstyle+xml"/>
  <Override PartName="/xl/charts/chartEx26.xml" ContentType="application/vnd.ms-office.chartex+xml"/>
  <Override PartName="/xl/charts/style56.xml" ContentType="application/vnd.ms-office.chartstyle+xml"/>
  <Override PartName="/xl/charts/colors56.xml" ContentType="application/vnd.ms-office.chartcolorstyle+xml"/>
  <Override PartName="/xl/charts/chartEx27.xml" ContentType="application/vnd.ms-office.chartex+xml"/>
  <Override PartName="/xl/charts/style57.xml" ContentType="application/vnd.ms-office.chartstyle+xml"/>
  <Override PartName="/xl/charts/colors57.xml" ContentType="application/vnd.ms-office.chartcolorstyle+xml"/>
  <Override PartName="/xl/charts/chartEx28.xml" ContentType="application/vnd.ms-office.chartex+xml"/>
  <Override PartName="/xl/charts/style58.xml" ContentType="application/vnd.ms-office.chartstyle+xml"/>
  <Override PartName="/xl/charts/colors58.xml" ContentType="application/vnd.ms-office.chartcolorstyle+xml"/>
  <Override PartName="/xl/charts/chartEx29.xml" ContentType="application/vnd.ms-office.chartex+xml"/>
  <Override PartName="/xl/charts/style59.xml" ContentType="application/vnd.ms-office.chartstyle+xml"/>
  <Override PartName="/xl/charts/colors59.xml" ContentType="application/vnd.ms-office.chartcolorstyle+xml"/>
  <Override PartName="/xl/charts/chartEx30.xml" ContentType="application/vnd.ms-office.chartex+xml"/>
  <Override PartName="/xl/charts/style60.xml" ContentType="application/vnd.ms-office.chartstyle+xml"/>
  <Override PartName="/xl/charts/colors60.xml" ContentType="application/vnd.ms-office.chartcolorstyle+xml"/>
  <Override PartName="/xl/charts/chartEx31.xml" ContentType="application/vnd.ms-office.chartex+xml"/>
  <Override PartName="/xl/charts/style61.xml" ContentType="application/vnd.ms-office.chartstyle+xml"/>
  <Override PartName="/xl/charts/colors61.xml" ContentType="application/vnd.ms-office.chartcolorstyle+xml"/>
  <Override PartName="/xl/charts/chartEx32.xml" ContentType="application/vnd.ms-office.chartex+xml"/>
  <Override PartName="/xl/charts/style62.xml" ContentType="application/vnd.ms-office.chartstyle+xml"/>
  <Override PartName="/xl/charts/colors62.xml" ContentType="application/vnd.ms-office.chartcolorstyle+xml"/>
  <Override PartName="/xl/charts/chartEx33.xml" ContentType="application/vnd.ms-office.chartex+xml"/>
  <Override PartName="/xl/charts/style63.xml" ContentType="application/vnd.ms-office.chartstyle+xml"/>
  <Override PartName="/xl/charts/colors63.xml" ContentType="application/vnd.ms-office.chartcolorstyle+xml"/>
  <Override PartName="/xl/charts/chartEx34.xml" ContentType="application/vnd.ms-office.chartex+xml"/>
  <Override PartName="/xl/charts/style64.xml" ContentType="application/vnd.ms-office.chartstyle+xml"/>
  <Override PartName="/xl/charts/colors64.xml" ContentType="application/vnd.ms-office.chartcolorstyle+xml"/>
  <Override PartName="/xl/charts/chartEx35.xml" ContentType="application/vnd.ms-office.chartex+xml"/>
  <Override PartName="/xl/charts/style65.xml" ContentType="application/vnd.ms-office.chartstyle+xml"/>
  <Override PartName="/xl/charts/colors65.xml" ContentType="application/vnd.ms-office.chartcolorstyle+xml"/>
  <Override PartName="/xl/charts/chartEx36.xml" ContentType="application/vnd.ms-office.chartex+xml"/>
  <Override PartName="/xl/charts/style66.xml" ContentType="application/vnd.ms-office.chartstyle+xml"/>
  <Override PartName="/xl/charts/colors66.xml" ContentType="application/vnd.ms-office.chartcolorstyle+xml"/>
  <Override PartName="/xl/charts/chartEx37.xml" ContentType="application/vnd.ms-office.chartex+xml"/>
  <Override PartName="/xl/charts/style67.xml" ContentType="application/vnd.ms-office.chartstyle+xml"/>
  <Override PartName="/xl/charts/colors67.xml" ContentType="application/vnd.ms-office.chartcolorstyle+xml"/>
  <Override PartName="/xl/charts/chartEx38.xml" ContentType="application/vnd.ms-office.chartex+xml"/>
  <Override PartName="/xl/charts/style68.xml" ContentType="application/vnd.ms-office.chartstyle+xml"/>
  <Override PartName="/xl/charts/colors68.xml" ContentType="application/vnd.ms-office.chartcolorstyle+xml"/>
  <Override PartName="/xl/charts/chartEx39.xml" ContentType="application/vnd.ms-office.chartex+xml"/>
  <Override PartName="/xl/charts/style69.xml" ContentType="application/vnd.ms-office.chartstyle+xml"/>
  <Override PartName="/xl/charts/colors69.xml" ContentType="application/vnd.ms-office.chartcolorstyle+xml"/>
  <Override PartName="/xl/charts/chartEx40.xml" ContentType="application/vnd.ms-office.chartex+xml"/>
  <Override PartName="/xl/charts/style70.xml" ContentType="application/vnd.ms-office.chartstyle+xml"/>
  <Override PartName="/xl/charts/colors70.xml" ContentType="application/vnd.ms-office.chartcolorstyle+xml"/>
  <Override PartName="/xl/charts/chart3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3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3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3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3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3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3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3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3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4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drawings/drawing5.xml" ContentType="application/vnd.openxmlformats-officedocument.drawing+xml"/>
  <Override PartName="/xl/charts/chart4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Ex41.xml" ContentType="application/vnd.ms-office.chartex+xml"/>
  <Override PartName="/xl/charts/style82.xml" ContentType="application/vnd.ms-office.chartstyle+xml"/>
  <Override PartName="/xl/charts/colors82.xml" ContentType="application/vnd.ms-office.chartcolorstyle+xml"/>
  <Override PartName="/xl/charts/chart42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43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44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Ex42.xml" ContentType="application/vnd.ms-office.chartex+xml"/>
  <Override PartName="/xl/charts/style86.xml" ContentType="application/vnd.ms-office.chartstyle+xml"/>
  <Override PartName="/xl/charts/colors8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/>
  <mc:AlternateContent xmlns:mc="http://schemas.openxmlformats.org/markup-compatibility/2006">
    <mc:Choice Requires="x15">
      <x15ac:absPath xmlns:x15ac="http://schemas.microsoft.com/office/spreadsheetml/2010/11/ac" url="F:\FAST-NUCES\2nd Semester\Data Analysis for Business - I\Semester Project\Excel Files\"/>
    </mc:Choice>
  </mc:AlternateContent>
  <xr:revisionPtr revIDLastSave="0" documentId="13_ncr:1_{C80D6125-CFF5-4266-8039-E9346521BE2D}" xr6:coauthVersionLast="47" xr6:coauthVersionMax="47" xr10:uidLastSave="{00000000-0000-0000-0000-000000000000}"/>
  <bookViews>
    <workbookView xWindow="-108" yWindow="-108" windowWidth="23256" windowHeight="12576" firstSheet="1" activeTab="2" xr2:uid="{00000000-000D-0000-FFFF-FFFF00000000}"/>
  </bookViews>
  <sheets>
    <sheet name="Form Responses 1" sheetId="1" r:id="rId1"/>
    <sheet name="First Part Questions (1-10) " sheetId="2" r:id="rId2"/>
    <sheet name="Second Part Questions (11-20)" sheetId="25" r:id="rId3"/>
    <sheet name="Cross Tabulation of 2nd Part" sheetId="29" r:id="rId4"/>
    <sheet name="Third Part Questions (21-30)" sheetId="4" r:id="rId5"/>
    <sheet name="Cross Tabulation of 3rd Part" sheetId="32" r:id="rId6"/>
    <sheet name="Fourth Part Questions (31-40) " sheetId="5" r:id="rId7"/>
    <sheet name="Problem Statement" sheetId="33" r:id="rId8"/>
  </sheets>
  <definedNames>
    <definedName name="_xlchart.v1.0" hidden="1">'First Part Questions (1-10) '!$A$2:$A$51</definedName>
    <definedName name="_xlchart.v1.1" hidden="1">'First Part Questions (1-10) '!$A$2:$A$51</definedName>
    <definedName name="_xlchart.v1.10" hidden="1">'First Part Questions (1-10) '!$J$2:$J$51</definedName>
    <definedName name="_xlchart.v1.11" hidden="1">'First Part Questions (1-10) '!$G$2:$G$51</definedName>
    <definedName name="_xlchart.v1.12" hidden="1">'First Part Questions (1-10) '!$C$2:$C$51</definedName>
    <definedName name="_xlchart.v1.13" hidden="1">'First Part Questions (1-10) '!$I$2:$I$51</definedName>
    <definedName name="_xlchart.v1.14" hidden="1">'First Part Questions (1-10) '!$J$2:$J$51</definedName>
    <definedName name="_xlchart.v1.15" hidden="1">'First Part Questions (1-10) '!$E$2:$E$51</definedName>
    <definedName name="_xlchart.v1.16" hidden="1">'First Part Questions (1-10) '!$H$2:$H$51</definedName>
    <definedName name="_xlchart.v1.17" hidden="1">'First Part Questions (1-10) '!$D$2:$D$51</definedName>
    <definedName name="_xlchart.v1.18" hidden="1">'First Part Questions (1-10) '!$F$2:$F$51</definedName>
    <definedName name="_xlchart.v1.19" hidden="1">'First Part Questions (1-10) '!$G$2:$G$51</definedName>
    <definedName name="_xlchart.v1.2" hidden="1">'First Part Questions (1-10) '!$E$2:$E$51</definedName>
    <definedName name="_xlchart.v1.20" hidden="1">'Fourth Part Questions (31-40) '!$B$2:$B$51</definedName>
    <definedName name="_xlchart.v1.21" hidden="1">'Fourth Part Questions (31-40) '!$D$2:$D$51</definedName>
    <definedName name="_xlchart.v1.22" hidden="1">'Fourth Part Questions (31-40) '!$J$2:$J$51</definedName>
    <definedName name="_xlchart.v1.23" hidden="1">'Fourth Part Questions (31-40) '!$A$2:$A$51</definedName>
    <definedName name="_xlchart.v1.24" hidden="1">'Fourth Part Questions (31-40) '!$C$2:$C$51</definedName>
    <definedName name="_xlchart.v1.25" hidden="1">'Fourth Part Questions (31-40) '!$J$2:$J$51</definedName>
    <definedName name="_xlchart.v1.26" hidden="1">'Fourth Part Questions (31-40) '!$B$2:$B$51</definedName>
    <definedName name="_xlchart.v1.27" hidden="1">'Fourth Part Questions (31-40) '!$C$2:$C$51</definedName>
    <definedName name="_xlchart.v1.28" hidden="1">'Fourth Part Questions (31-40) '!$A$21:$A$70</definedName>
    <definedName name="_xlchart.v1.29" hidden="1">'Fourth Part Questions (31-40) '!$E$2:$E$51</definedName>
    <definedName name="_xlchart.v1.3" hidden="1">'First Part Questions (1-10) '!$I$2:$I$51</definedName>
    <definedName name="_xlchart.v1.30" hidden="1">'Fourth Part Questions (31-40) '!$G$2:$G$51</definedName>
    <definedName name="_xlchart.v1.31" hidden="1">'Fourth Part Questions (31-40) '!$D$2:$D$51</definedName>
    <definedName name="_xlchart.v1.32" hidden="1">'Fourth Part Questions (31-40) '!$H$2:$H$51</definedName>
    <definedName name="_xlchart.v1.33" hidden="1">'Fourth Part Questions (31-40) '!$I$2:$I$51</definedName>
    <definedName name="_xlchart.v1.34" hidden="1">'Fourth Part Questions (31-40) '!$F$2:$F$51</definedName>
    <definedName name="_xlchart.v1.35" hidden="1">'Fourth Part Questions (31-40) '!$E$2:$E$51</definedName>
    <definedName name="_xlchart.v1.36" hidden="1">'Fourth Part Questions (31-40) '!$F$2:$F$51</definedName>
    <definedName name="_xlchart.v1.37" hidden="1">'Fourth Part Questions (31-40) '!$G$2:$G$51</definedName>
    <definedName name="_xlchart.v1.38" hidden="1">'Fourth Part Questions (31-40) '!$H$2:$H$51</definedName>
    <definedName name="_xlchart.v1.39" hidden="1">'Fourth Part Questions (31-40) '!$I$2:$I$51</definedName>
    <definedName name="_xlchart.v1.4" hidden="1">'First Part Questions (1-10) '!$D$2:$D$51</definedName>
    <definedName name="_xlchart.v1.40" hidden="1">'Problem Statement'!$A$2:$A$51</definedName>
    <definedName name="_xlchart.v1.41" hidden="1">'Problem Statement'!$B$2:$B$51</definedName>
    <definedName name="_xlchart.v1.42" hidden="1">'Problem Statement'!$A$2:$A$51</definedName>
    <definedName name="_xlchart.v1.43" hidden="1">'Problem Statement'!$B$2:$B$51</definedName>
    <definedName name="_xlchart.v1.5" hidden="1">'First Part Questions (1-10) '!$B$2:$B$51</definedName>
    <definedName name="_xlchart.v1.6" hidden="1">'First Part Questions (1-10) '!$C$2:$C$51</definedName>
    <definedName name="_xlchart.v1.7" hidden="1">'First Part Questions (1-10) '!$B$2:$B$51</definedName>
    <definedName name="_xlchart.v1.8" hidden="1">'First Part Questions (1-10) '!$F$2:$F$51</definedName>
    <definedName name="_xlchart.v1.9" hidden="1">'First Part Questions (1-10) '!$H$2:$H$51</definedName>
    <definedName name="_xlcn.WorksheetConnection_DA1ProjectDataCollection.xlsxForm_Responses11" hidden="1">Form_Responses1[]</definedName>
    <definedName name="_xlcn.WorksheetConnection_FirstPartQuestions110A2A511" hidden="1">'First Part Questions (1-10) '!$A$2:$A$51</definedName>
    <definedName name="_xlcn.WorksheetConnection_SecondPartQuestions1120A2A511" hidden="1">'Second Part Questions (11-20)'!$A$2:$A$51</definedName>
    <definedName name="_xlcn.WorksheetConnection_ThirdPartQuestions2130A2A511" hidden="1">'Third Part Questions (21-30)'!$A$2:$A$51</definedName>
  </definedNames>
  <calcPr calcId="191029"/>
  <pivotCaches>
    <pivotCache cacheId="260" r:id="rId9"/>
    <pivotCache cacheId="261" r:id="rId10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First Part Questions (1-10) !$A$2:$A$51"/>
          <x15:modelTable id="Form_Responses1" name="Form_Responses1" connection="WorksheetConnection_DA1 Project Data Collection.xlsx!Form_Responses1"/>
          <x15:modelTable id="Range 1" name="Range 1" connection="WorksheetConnection_Second Part Questions (11-20)!$A$2:$A$51"/>
          <x15:modelTable id="Range 2" name="Range 2" connection="WorksheetConnection_Third Part Questions (21-30)!$A$2:$A$5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1" i="2" l="1"/>
  <c r="A171" i="2"/>
  <c r="A166" i="2"/>
  <c r="A89" i="2"/>
  <c r="A88" i="2"/>
  <c r="A87" i="2"/>
  <c r="A83" i="2"/>
  <c r="A82" i="2"/>
  <c r="A81" i="2"/>
  <c r="A69" i="2"/>
  <c r="A73" i="2"/>
  <c r="A77" i="2"/>
  <c r="A61" i="2"/>
  <c r="A65" i="2"/>
  <c r="A57" i="2"/>
  <c r="A56" i="25"/>
  <c r="C57" i="25"/>
  <c r="C56" i="25"/>
  <c r="C59" i="25"/>
  <c r="A122" i="33"/>
  <c r="A121" i="33"/>
  <c r="A118" i="33"/>
  <c r="A114" i="33"/>
  <c r="A110" i="33"/>
  <c r="A117" i="33"/>
  <c r="A113" i="33"/>
  <c r="A109" i="33"/>
  <c r="A57" i="33" l="1"/>
  <c r="A178" i="2"/>
  <c r="A200" i="5"/>
  <c r="J200" i="5"/>
  <c r="I200" i="5"/>
  <c r="H200" i="5"/>
  <c r="G200" i="5"/>
  <c r="F200" i="5"/>
  <c r="E200" i="5"/>
  <c r="D200" i="5"/>
  <c r="C200" i="5"/>
  <c r="B200" i="5"/>
  <c r="J178" i="2"/>
  <c r="I178" i="2"/>
  <c r="H178" i="2"/>
  <c r="G178" i="2"/>
  <c r="F178" i="2"/>
  <c r="E178" i="2"/>
  <c r="D178" i="2"/>
  <c r="C178" i="2"/>
  <c r="B178" i="2"/>
  <c r="B56" i="25"/>
  <c r="D56" i="25"/>
  <c r="E56" i="25"/>
  <c r="F56" i="25"/>
  <c r="G56" i="25"/>
  <c r="H56" i="25"/>
  <c r="I56" i="25"/>
  <c r="J56" i="25"/>
  <c r="A57" i="25"/>
  <c r="B57" i="25"/>
  <c r="D57" i="25"/>
  <c r="E57" i="25"/>
  <c r="F57" i="25"/>
  <c r="G57" i="25"/>
  <c r="H57" i="25"/>
  <c r="I57" i="25"/>
  <c r="J57" i="25"/>
  <c r="A58" i="25"/>
  <c r="B58" i="25"/>
  <c r="C58" i="25"/>
  <c r="D58" i="25"/>
  <c r="E58" i="25"/>
  <c r="F58" i="25"/>
  <c r="G58" i="25"/>
  <c r="H58" i="25"/>
  <c r="I58" i="25"/>
  <c r="J58" i="25"/>
  <c r="A59" i="25"/>
  <c r="B59" i="25"/>
  <c r="D59" i="25"/>
  <c r="E59" i="25"/>
  <c r="F59" i="25"/>
  <c r="G59" i="25"/>
  <c r="H59" i="25"/>
  <c r="I59" i="25"/>
  <c r="J59" i="25"/>
  <c r="A63" i="25"/>
  <c r="B63" i="25"/>
  <c r="C63" i="25"/>
  <c r="D63" i="25"/>
  <c r="E63" i="25"/>
  <c r="F63" i="25"/>
  <c r="G63" i="25"/>
  <c r="H63" i="25"/>
  <c r="I63" i="25"/>
  <c r="J63" i="25"/>
  <c r="A64" i="25"/>
  <c r="B64" i="25"/>
  <c r="C64" i="25"/>
  <c r="D64" i="25"/>
  <c r="E64" i="25"/>
  <c r="F64" i="25"/>
  <c r="G64" i="25"/>
  <c r="H64" i="25"/>
  <c r="I64" i="25"/>
  <c r="J64" i="25"/>
  <c r="A65" i="25"/>
  <c r="B65" i="25"/>
  <c r="C65" i="25"/>
  <c r="D65" i="25"/>
  <c r="E65" i="25"/>
  <c r="F65" i="25"/>
  <c r="G65" i="25"/>
  <c r="H65" i="25"/>
  <c r="I65" i="25"/>
  <c r="J65" i="25"/>
  <c r="A66" i="25"/>
  <c r="B66" i="25"/>
  <c r="C66" i="25"/>
  <c r="D66" i="25"/>
  <c r="E66" i="25"/>
  <c r="F66" i="25"/>
  <c r="G66" i="25"/>
  <c r="H66" i="25"/>
  <c r="I66" i="25"/>
  <c r="J66" i="25"/>
  <c r="J171" i="2"/>
  <c r="I171" i="2"/>
  <c r="H171" i="2"/>
  <c r="G171" i="2"/>
  <c r="F171" i="2"/>
  <c r="E171" i="2"/>
  <c r="D171" i="2"/>
  <c r="C171" i="2"/>
  <c r="B171" i="2"/>
  <c r="A195" i="5"/>
  <c r="J166" i="2"/>
  <c r="I166" i="2"/>
  <c r="H166" i="2"/>
  <c r="G166" i="2"/>
  <c r="F166" i="2"/>
  <c r="E166" i="2"/>
  <c r="D166" i="2"/>
  <c r="C166" i="2"/>
  <c r="B166" i="2"/>
  <c r="A179" i="5"/>
  <c r="C161" i="2"/>
  <c r="J161" i="2"/>
  <c r="I161" i="2"/>
  <c r="H161" i="2"/>
  <c r="G161" i="2"/>
  <c r="F161" i="2"/>
  <c r="E161" i="2"/>
  <c r="D161" i="2"/>
  <c r="B161" i="2"/>
  <c r="A174" i="5"/>
  <c r="B89" i="2"/>
  <c r="J89" i="2"/>
  <c r="I89" i="2"/>
  <c r="H89" i="2"/>
  <c r="G89" i="2"/>
  <c r="F89" i="2"/>
  <c r="E89" i="2"/>
  <c r="D89" i="2"/>
  <c r="C89" i="2"/>
  <c r="J88" i="2"/>
  <c r="I88" i="2"/>
  <c r="H88" i="2"/>
  <c r="G88" i="2"/>
  <c r="F88" i="2"/>
  <c r="E88" i="2"/>
  <c r="D88" i="2"/>
  <c r="C88" i="2"/>
  <c r="B88" i="2"/>
  <c r="J87" i="2"/>
  <c r="I87" i="2"/>
  <c r="H87" i="2"/>
  <c r="G87" i="2"/>
  <c r="F87" i="2"/>
  <c r="E87" i="2"/>
  <c r="D87" i="2"/>
  <c r="C87" i="2"/>
  <c r="B87" i="2"/>
  <c r="J83" i="2"/>
  <c r="I83" i="2"/>
  <c r="H83" i="2"/>
  <c r="G83" i="2"/>
  <c r="F83" i="2"/>
  <c r="E83" i="2"/>
  <c r="D83" i="2"/>
  <c r="C83" i="2"/>
  <c r="B83" i="2"/>
  <c r="J82" i="2"/>
  <c r="I82" i="2"/>
  <c r="H82" i="2"/>
  <c r="G82" i="2"/>
  <c r="F82" i="2"/>
  <c r="E82" i="2"/>
  <c r="D82" i="2"/>
  <c r="C82" i="2"/>
  <c r="B82" i="2"/>
  <c r="J81" i="2"/>
  <c r="I81" i="2"/>
  <c r="H81" i="2"/>
  <c r="G81" i="2"/>
  <c r="F81" i="2"/>
  <c r="E81" i="2"/>
  <c r="D81" i="2"/>
  <c r="C81" i="2"/>
  <c r="B81" i="2"/>
  <c r="B77" i="2"/>
  <c r="J77" i="2"/>
  <c r="I77" i="2"/>
  <c r="H77" i="2"/>
  <c r="G77" i="2"/>
  <c r="F77" i="2"/>
  <c r="E77" i="2"/>
  <c r="D77" i="2"/>
  <c r="C77" i="2"/>
  <c r="J73" i="2"/>
  <c r="I73" i="2"/>
  <c r="H73" i="2"/>
  <c r="G73" i="2"/>
  <c r="F73" i="2"/>
  <c r="E73" i="2"/>
  <c r="D73" i="2"/>
  <c r="C73" i="2"/>
  <c r="B73" i="2"/>
  <c r="J69" i="2"/>
  <c r="I69" i="2"/>
  <c r="H69" i="2"/>
  <c r="G69" i="2"/>
  <c r="F69" i="2"/>
  <c r="E69" i="2"/>
  <c r="D69" i="2"/>
  <c r="C69" i="2"/>
  <c r="B69" i="2"/>
  <c r="J65" i="2"/>
  <c r="I65" i="2"/>
  <c r="H65" i="2"/>
  <c r="G65" i="2"/>
  <c r="F65" i="2"/>
  <c r="E65" i="2"/>
  <c r="D65" i="2"/>
  <c r="C65" i="2"/>
  <c r="B65" i="2"/>
  <c r="J61" i="2"/>
  <c r="I61" i="2"/>
  <c r="H61" i="2"/>
  <c r="G61" i="2"/>
  <c r="F61" i="2"/>
  <c r="E61" i="2"/>
  <c r="D61" i="2"/>
  <c r="C61" i="2"/>
  <c r="B61" i="2"/>
  <c r="C57" i="2"/>
  <c r="J57" i="2"/>
  <c r="I57" i="2"/>
  <c r="H57" i="2"/>
  <c r="G57" i="2"/>
  <c r="F57" i="2"/>
  <c r="E57" i="2"/>
  <c r="D57" i="2"/>
  <c r="B57" i="2"/>
  <c r="J195" i="5"/>
  <c r="D195" i="5"/>
  <c r="C195" i="5"/>
  <c r="I195" i="5"/>
  <c r="H195" i="5"/>
  <c r="G195" i="5"/>
  <c r="F195" i="5"/>
  <c r="E195" i="5"/>
  <c r="B195" i="5"/>
  <c r="J190" i="5"/>
  <c r="I190" i="5"/>
  <c r="H190" i="5"/>
  <c r="G190" i="5"/>
  <c r="F190" i="5"/>
  <c r="E190" i="5"/>
  <c r="D190" i="5"/>
  <c r="C190" i="5"/>
  <c r="B190" i="5"/>
  <c r="J189" i="5"/>
  <c r="I189" i="5"/>
  <c r="H189" i="5"/>
  <c r="G189" i="5"/>
  <c r="F189" i="5"/>
  <c r="E189" i="5"/>
  <c r="D189" i="5"/>
  <c r="C189" i="5"/>
  <c r="B189" i="5"/>
  <c r="J188" i="5"/>
  <c r="I188" i="5"/>
  <c r="H188" i="5"/>
  <c r="G188" i="5"/>
  <c r="F188" i="5"/>
  <c r="E188" i="5"/>
  <c r="D188" i="5"/>
  <c r="C188" i="5"/>
  <c r="B188" i="5"/>
  <c r="J187" i="5"/>
  <c r="I187" i="5"/>
  <c r="H187" i="5"/>
  <c r="G187" i="5"/>
  <c r="F187" i="5"/>
  <c r="E187" i="5"/>
  <c r="D187" i="5"/>
  <c r="C187" i="5"/>
  <c r="B187" i="5"/>
  <c r="J186" i="5"/>
  <c r="I186" i="5"/>
  <c r="H186" i="5"/>
  <c r="G186" i="5"/>
  <c r="F186" i="5"/>
  <c r="E186" i="5"/>
  <c r="D186" i="5"/>
  <c r="C186" i="5"/>
  <c r="B186" i="5"/>
  <c r="A190" i="5"/>
  <c r="A189" i="5"/>
  <c r="A188" i="5"/>
  <c r="A187" i="5"/>
  <c r="A186" i="5"/>
  <c r="J179" i="5"/>
  <c r="I179" i="5"/>
  <c r="H179" i="5"/>
  <c r="G179" i="5"/>
  <c r="F179" i="5"/>
  <c r="E179" i="5"/>
  <c r="D179" i="5"/>
  <c r="C179" i="5"/>
  <c r="B179" i="5"/>
  <c r="J174" i="5"/>
  <c r="I174" i="5"/>
  <c r="H174" i="5"/>
  <c r="G174" i="5"/>
  <c r="F174" i="5"/>
  <c r="E174" i="5"/>
  <c r="D174" i="5"/>
  <c r="C174" i="5"/>
  <c r="B174" i="5"/>
  <c r="J99" i="5"/>
  <c r="I99" i="5"/>
  <c r="H99" i="5"/>
  <c r="G99" i="5"/>
  <c r="F99" i="5"/>
  <c r="E99" i="5"/>
  <c r="D99" i="5"/>
  <c r="C99" i="5"/>
  <c r="B99" i="5"/>
  <c r="A99" i="5"/>
  <c r="A134" i="2"/>
  <c r="J94" i="5"/>
  <c r="I94" i="5"/>
  <c r="H94" i="5"/>
  <c r="G94" i="5"/>
  <c r="F94" i="5"/>
  <c r="E94" i="5"/>
  <c r="D94" i="5"/>
  <c r="C94" i="5"/>
  <c r="B94" i="5"/>
  <c r="J93" i="5"/>
  <c r="I93" i="5"/>
  <c r="H93" i="5"/>
  <c r="G93" i="5"/>
  <c r="F93" i="5"/>
  <c r="E93" i="5"/>
  <c r="D93" i="5"/>
  <c r="C93" i="5"/>
  <c r="B93" i="5"/>
  <c r="J92" i="5"/>
  <c r="I92" i="5"/>
  <c r="H92" i="5"/>
  <c r="G92" i="5"/>
  <c r="F92" i="5"/>
  <c r="E92" i="5"/>
  <c r="D92" i="5"/>
  <c r="C92" i="5"/>
  <c r="B92" i="5"/>
  <c r="A92" i="5"/>
  <c r="A94" i="5"/>
  <c r="A93" i="5"/>
  <c r="J87" i="5"/>
  <c r="I87" i="5"/>
  <c r="H87" i="5"/>
  <c r="G87" i="5"/>
  <c r="F87" i="5"/>
  <c r="E87" i="5"/>
  <c r="D87" i="5"/>
  <c r="C87" i="5"/>
  <c r="B87" i="5"/>
  <c r="J86" i="5"/>
  <c r="I86" i="5"/>
  <c r="H86" i="5"/>
  <c r="G86" i="5"/>
  <c r="F86" i="5"/>
  <c r="E86" i="5"/>
  <c r="D86" i="5"/>
  <c r="C86" i="5"/>
  <c r="B86" i="5"/>
  <c r="J85" i="5"/>
  <c r="I85" i="5"/>
  <c r="H85" i="5"/>
  <c r="G85" i="5"/>
  <c r="F85" i="5"/>
  <c r="E85" i="5"/>
  <c r="D85" i="5"/>
  <c r="C85" i="5"/>
  <c r="B85" i="5"/>
  <c r="A87" i="5"/>
  <c r="A86" i="5"/>
  <c r="A85" i="5"/>
  <c r="C80" i="5"/>
  <c r="B80" i="5"/>
  <c r="J80" i="5"/>
  <c r="I80" i="5"/>
  <c r="H80" i="5"/>
  <c r="G80" i="5"/>
  <c r="F80" i="5"/>
  <c r="E80" i="5"/>
  <c r="D80" i="5"/>
  <c r="A80" i="5"/>
  <c r="J75" i="5"/>
  <c r="I75" i="5"/>
  <c r="H75" i="5"/>
  <c r="G75" i="5"/>
  <c r="F75" i="5"/>
  <c r="E75" i="5"/>
  <c r="D75" i="5"/>
  <c r="C75" i="5"/>
  <c r="B75" i="5"/>
  <c r="A75" i="5"/>
  <c r="J70" i="5"/>
  <c r="I70" i="5"/>
  <c r="H70" i="5"/>
  <c r="G70" i="5"/>
  <c r="F70" i="5"/>
  <c r="E70" i="5"/>
  <c r="D70" i="5"/>
  <c r="C70" i="5"/>
  <c r="B70" i="5"/>
  <c r="A70" i="5"/>
  <c r="J65" i="5"/>
  <c r="I65" i="5"/>
  <c r="H65" i="5"/>
  <c r="G65" i="5"/>
  <c r="F65" i="5"/>
  <c r="E65" i="5"/>
  <c r="D65" i="5"/>
  <c r="C65" i="5"/>
  <c r="B65" i="5"/>
  <c r="A65" i="5"/>
  <c r="J60" i="5"/>
  <c r="I60" i="5"/>
  <c r="H60" i="5"/>
  <c r="G60" i="5"/>
  <c r="F60" i="5"/>
  <c r="E60" i="5"/>
  <c r="D60" i="5"/>
  <c r="C60" i="5"/>
  <c r="B60" i="5"/>
  <c r="B55" i="5"/>
  <c r="A60" i="5"/>
  <c r="J55" i="5"/>
  <c r="I55" i="5"/>
  <c r="H55" i="5"/>
  <c r="G55" i="5"/>
  <c r="F55" i="5"/>
  <c r="E55" i="5"/>
  <c r="D55" i="5"/>
  <c r="C55" i="5"/>
  <c r="A55" i="5"/>
  <c r="J67" i="4"/>
  <c r="J66" i="4"/>
  <c r="J65" i="4"/>
  <c r="J64" i="4"/>
  <c r="I67" i="4"/>
  <c r="I66" i="4"/>
  <c r="I65" i="4"/>
  <c r="I64" i="4"/>
  <c r="H67" i="4"/>
  <c r="H66" i="4"/>
  <c r="H65" i="4"/>
  <c r="H64" i="4"/>
  <c r="G67" i="4"/>
  <c r="G66" i="4"/>
  <c r="G65" i="4"/>
  <c r="G64" i="4"/>
  <c r="F67" i="4"/>
  <c r="F66" i="4"/>
  <c r="F65" i="4"/>
  <c r="F64" i="4"/>
  <c r="E67" i="4"/>
  <c r="E66" i="4"/>
  <c r="E65" i="4"/>
  <c r="E64" i="4"/>
  <c r="D65" i="4"/>
  <c r="D64" i="4"/>
  <c r="C65" i="4"/>
  <c r="C64" i="4"/>
  <c r="B66" i="4"/>
  <c r="B65" i="4"/>
  <c r="B64" i="4"/>
  <c r="A67" i="4"/>
  <c r="A66" i="4"/>
  <c r="A65" i="4"/>
  <c r="A64" i="4"/>
  <c r="J59" i="4"/>
  <c r="J58" i="4"/>
  <c r="J57" i="4"/>
  <c r="J56" i="4"/>
  <c r="I59" i="4"/>
  <c r="I58" i="4"/>
  <c r="I57" i="4"/>
  <c r="I56" i="4"/>
  <c r="H56" i="4"/>
  <c r="H59" i="4"/>
  <c r="H58" i="4"/>
  <c r="H57" i="4"/>
  <c r="G59" i="4"/>
  <c r="G58" i="4"/>
  <c r="G57" i="4"/>
  <c r="G56" i="4"/>
  <c r="F59" i="4"/>
  <c r="F58" i="4"/>
  <c r="F57" i="4"/>
  <c r="F56" i="4"/>
  <c r="E59" i="4"/>
  <c r="E58" i="4"/>
  <c r="E57" i="4"/>
  <c r="E56" i="4"/>
  <c r="D57" i="4"/>
  <c r="D56" i="4"/>
  <c r="C56" i="4"/>
  <c r="C57" i="4"/>
  <c r="B58" i="4"/>
  <c r="B57" i="4"/>
  <c r="B56" i="4"/>
  <c r="A59" i="4"/>
  <c r="A58" i="4"/>
  <c r="A57" i="4"/>
  <c r="A56" i="4"/>
  <c r="J134" i="2"/>
  <c r="I134" i="2"/>
  <c r="H134" i="2"/>
  <c r="G134" i="2"/>
  <c r="F134" i="2"/>
  <c r="E134" i="2"/>
  <c r="D134" i="2"/>
  <c r="C134" i="2"/>
  <c r="B13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451BB5-06FD-4A8D-8221-0FF9F6BFCCE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5AD1D89-4CA8-465C-A5CC-A1ACE404A6D2}" name="WorksheetConnection_DA1 Project Data Collection.xlsx!Form_Responses1" type="102" refreshedVersion="8" minRefreshableVersion="5">
    <extLst>
      <ext xmlns:x15="http://schemas.microsoft.com/office/spreadsheetml/2010/11/main" uri="{DE250136-89BD-433C-8126-D09CA5730AF9}">
        <x15:connection id="Form_Responses1">
          <x15:rangePr sourceName="_xlcn.WorksheetConnection_DA1ProjectDataCollection.xlsxForm_Responses11"/>
        </x15:connection>
      </ext>
    </extLst>
  </connection>
  <connection id="3" xr16:uid="{3A482E9D-0A49-467B-830B-79DBF8F386FC}" name="WorksheetConnection_First Part Questions (1-10) !$A$2:$A$5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FirstPartQuestions110A2A511"/>
        </x15:connection>
      </ext>
    </extLst>
  </connection>
  <connection id="4" xr16:uid="{1EB35429-C510-4E93-B26A-874907C7EFA8}" name="WorksheetConnection_Second Part Questions (11-20)!$A$2:$A$51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SecondPartQuestions1120A2A511"/>
        </x15:connection>
      </ext>
    </extLst>
  </connection>
  <connection id="5" xr16:uid="{728954A0-27BD-4058-85AE-A63D7FAD16F2}" name="WorksheetConnection_Third Part Questions (21-30)!$A$2:$A$51" type="102" refreshedVersion="8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ThirdPartQuestions2130A2A511"/>
        </x15:connection>
      </ext>
    </extLst>
  </connection>
</connections>
</file>

<file path=xl/sharedStrings.xml><?xml version="1.0" encoding="utf-8"?>
<sst xmlns="http://schemas.openxmlformats.org/spreadsheetml/2006/main" count="2886" uniqueCount="558">
  <si>
    <t>Timestamp</t>
  </si>
  <si>
    <t>1. How old are you (in years)?</t>
  </si>
  <si>
    <t>2. On average, how many hours do you sleep at night?</t>
  </si>
  <si>
    <t>3.  How many hours do you spend studying per week?</t>
  </si>
  <si>
    <t>4. How many breaks do you take during a study session?</t>
  </si>
  <si>
    <t>5. On average, how many classes you attend per day (Monday - Friday)?</t>
  </si>
  <si>
    <t>6. On average, how many hours per day do you use digital screens (e.g., laptop etc.) for academic purpose?</t>
  </si>
  <si>
    <t>7. How many assignments did you submit late this semester due to stress?</t>
  </si>
  <si>
    <t>8. How many days per week do you feel overwhelmed due to your academic workload?</t>
  </si>
  <si>
    <t>9. How many mental health counselling sessions have you attended this semester?</t>
  </si>
  <si>
    <t>10. How many rest days do you give yourself per month?</t>
  </si>
  <si>
    <t xml:space="preserve">1. How would you rate your academic stress level? </t>
  </si>
  <si>
    <t xml:space="preserve">2. How often do you feel emotionally drained by academic work? </t>
  </si>
  <si>
    <t>3. How severe are your physical stress symptoms (e.g., headaches)?</t>
  </si>
  <si>
    <t>4. How often do you procrastinate because of anxiety?</t>
  </si>
  <si>
    <t>5. How do you feel after submitting major assignments?</t>
  </si>
  <si>
    <t>6. How well do you manage academic pressure?</t>
  </si>
  <si>
    <t>7. How would you rate your time management skills?</t>
  </si>
  <si>
    <t>8. How often do you practice self-care during semesters?</t>
  </si>
  <si>
    <t>9. How often do you feel supported by peers during stress?</t>
  </si>
  <si>
    <t>10. How important is mental health at your university?</t>
  </si>
  <si>
    <t xml:space="preserve">1. What is your year of study? </t>
  </si>
  <si>
    <t>2. What is your major?</t>
  </si>
  <si>
    <t>3. What is your gender?</t>
  </si>
  <si>
    <t>4. What type of institution are you at?</t>
  </si>
  <si>
    <t>5. What is your preferred stressed coping mechanism?</t>
  </si>
  <si>
    <t>6. What stress relief activity do you prefer?</t>
  </si>
  <si>
    <t>7. What is your preferred study method?</t>
  </si>
  <si>
    <t>8. Which mental health resources do you use?</t>
  </si>
  <si>
    <t>9. What contributes most to your academic stress?</t>
  </si>
  <si>
    <t>10. Which social media do you use most (affecting stress)?</t>
  </si>
  <si>
    <t>Rate each statement based on your own experiences. [I feel stress during finals week.]</t>
  </si>
  <si>
    <t>Rate each statement based on your own experiences. [I often feel anxious.]</t>
  </si>
  <si>
    <t>Rate each statement based on your own experiences. [I frequently experience burnout.]</t>
  </si>
  <si>
    <t>Rate each statement based on your own experiences. [I feel pressured to maintain academic performance.]</t>
  </si>
  <si>
    <t>Rate each statement based on your own experiences. [I am confident in managing my stress.]</t>
  </si>
  <si>
    <t>Rate each statement based on your own experiences. [I feel good about my emotional well-being.]</t>
  </si>
  <si>
    <t>Rate each statement based on your own experiences. [I have high energy levels during the semester.]</t>
  </si>
  <si>
    <t>Rate each statement based on your own experiences. [I can concentrate well on my tasks.]</t>
  </si>
  <si>
    <t>Rate each statement based on your own experiences. [I sleep well during exam periods.]</t>
  </si>
  <si>
    <t>Rate each statement based on your own experiences. [I am satisfied with the mental health support available.]</t>
  </si>
  <si>
    <t>Moderate</t>
  </si>
  <si>
    <t>Often</t>
  </si>
  <si>
    <t>Mild</t>
  </si>
  <si>
    <t>Relieved</t>
  </si>
  <si>
    <t>Poorly</t>
  </si>
  <si>
    <t>Very poor</t>
  </si>
  <si>
    <t>Rarely</t>
  </si>
  <si>
    <t>Occasionally</t>
  </si>
  <si>
    <t>Somewhat important</t>
  </si>
  <si>
    <t>2nd year</t>
  </si>
  <si>
    <t>Business</t>
  </si>
  <si>
    <t>Female</t>
  </si>
  <si>
    <t>Private</t>
  </si>
  <si>
    <t>Hobbies</t>
  </si>
  <si>
    <t>Music</t>
  </si>
  <si>
    <t>Solo</t>
  </si>
  <si>
    <t>Peer support</t>
  </si>
  <si>
    <t>Exams / Assignments</t>
  </si>
  <si>
    <t>Instagram</t>
  </si>
  <si>
    <t>Extreme</t>
  </si>
  <si>
    <t>Always</t>
  </si>
  <si>
    <t>Indifferent</t>
  </si>
  <si>
    <t>Not important</t>
  </si>
  <si>
    <t>3rd year</t>
  </si>
  <si>
    <t>Sleep</t>
  </si>
  <si>
    <t>Meditation</t>
  </si>
  <si>
    <t>Online resources</t>
  </si>
  <si>
    <t>None</t>
  </si>
  <si>
    <t>Personal expectations</t>
  </si>
  <si>
    <t>Severe</t>
  </si>
  <si>
    <t>Still anxious</t>
  </si>
  <si>
    <t>Well</t>
  </si>
  <si>
    <t>Good</t>
  </si>
  <si>
    <t>1st year</t>
  </si>
  <si>
    <t>Male</t>
  </si>
  <si>
    <t>High</t>
  </si>
  <si>
    <t>Never</t>
  </si>
  <si>
    <t>4th year</t>
  </si>
  <si>
    <t>Engineering</t>
  </si>
  <si>
    <t>Journaling</t>
  </si>
  <si>
    <t>Time pressure</t>
  </si>
  <si>
    <t>Low</t>
  </si>
  <si>
    <t>Sometimes</t>
  </si>
  <si>
    <t>Very well</t>
  </si>
  <si>
    <t>Excellent</t>
  </si>
  <si>
    <t>Talking to friends</t>
  </si>
  <si>
    <t>Group study</t>
  </si>
  <si>
    <t>Frequently</t>
  </si>
  <si>
    <t>Important</t>
  </si>
  <si>
    <t>Sciences</t>
  </si>
  <si>
    <t>Public</t>
  </si>
  <si>
    <t>Extremely important</t>
  </si>
  <si>
    <t>TikTok</t>
  </si>
  <si>
    <t>Even more stressed</t>
  </si>
  <si>
    <t>Online therapy</t>
  </si>
  <si>
    <t>Lack of support</t>
  </si>
  <si>
    <t>YouTube</t>
  </si>
  <si>
    <t>Fair</t>
  </si>
  <si>
    <t>Gaming</t>
  </si>
  <si>
    <t>Counseling center</t>
  </si>
  <si>
    <t>Poor</t>
  </si>
  <si>
    <t>Tutoring</t>
  </si>
  <si>
    <t>Mean or average (How old are you in years?)</t>
  </si>
  <si>
    <t>Mean or average (How many hours do you sleep at night?)</t>
  </si>
  <si>
    <t>Mean or average (How many hours do spend studying per week?)</t>
  </si>
  <si>
    <t>Mean or average (How many breaks do you take during a study session?)</t>
  </si>
  <si>
    <t>Mean or average (How many classes you attend per day?)</t>
  </si>
  <si>
    <t>Mean or average (How many hours per day do you use digital screen academic purpose?)</t>
  </si>
  <si>
    <t>Mean or average (How many assignments did you submit late this semester due to stress?)</t>
  </si>
  <si>
    <t>Mean or average (How many days do you feel overwhelmed due to academic workload?)</t>
  </si>
  <si>
    <t>Mean or average (How many mental health counselling sessions have you attended this semester?)</t>
  </si>
  <si>
    <t>Mean or average (How many rest days do you give yourself per month?)</t>
  </si>
  <si>
    <t>Median (How old are you in years?)</t>
  </si>
  <si>
    <t>Median (How many classes you attend per day?)</t>
  </si>
  <si>
    <t>Median (How many hours per day do you use digital screen academic purpose?)</t>
  </si>
  <si>
    <t>Median (How many days do you feel overwhelmed due to academic workload?)</t>
  </si>
  <si>
    <t>Median (How many assignments did you submit late this semester due to stress?)</t>
  </si>
  <si>
    <t>Median (How many mental health counselling sessions have you attended this semester?)</t>
  </si>
  <si>
    <t>Mode (How old are you in years?)</t>
  </si>
  <si>
    <t>Median (How many hours do you sleep at night?)</t>
  </si>
  <si>
    <t>Median (How many hours do spend studying per week?)</t>
  </si>
  <si>
    <t>Median (How many breaks do you take during a study session?)</t>
  </si>
  <si>
    <t>Mode (How many hours do you sleep at night?)</t>
  </si>
  <si>
    <t>Mode (How many hours do spend studying per week?)</t>
  </si>
  <si>
    <t>Mode (How many breaks do you take during a study session?)</t>
  </si>
  <si>
    <t>Mode (How many classes you attend per day?)</t>
  </si>
  <si>
    <t>Mode (How many hours per day do you use digital screen academic purpose?)</t>
  </si>
  <si>
    <t>Mode (How many assignments did you submit late this semester due to stress?)</t>
  </si>
  <si>
    <t>Mode (How many days do you feel overwhelmed due to academic workload?)</t>
  </si>
  <si>
    <t>Mode (How many mental health counselling sessions have you attended this semester?)</t>
  </si>
  <si>
    <t>Median (How many rest days do you give yourself per month?)</t>
  </si>
  <si>
    <t>Mode (How many rest days do you give yourself per month?)</t>
  </si>
  <si>
    <t>Range (How old are you in years?)</t>
  </si>
  <si>
    <t>Range (How many hours do you sleep at night?)</t>
  </si>
  <si>
    <t>Range (How many hours do spend studying per week?)</t>
  </si>
  <si>
    <t>Range (How many breaks do you take during a study session?)</t>
  </si>
  <si>
    <t>Range (How many classes you attend per day?)</t>
  </si>
  <si>
    <t>Range (How many hours per day do you use digital screen academic purpose?)</t>
  </si>
  <si>
    <t>Range (How many assignments did you submit late this semester due to stress?)</t>
  </si>
  <si>
    <t>Range (How many days do you feel overwhelmed due to academic workload?)</t>
  </si>
  <si>
    <t>Range (How many mental health counselling sessions have you attended this semester?)</t>
  </si>
  <si>
    <t>Range (How many rest days do you give yourself per month?)</t>
  </si>
  <si>
    <t>Sample Variance (How old are you in years?)</t>
  </si>
  <si>
    <t>Sample Variance (How many hours do you sleep at night?)</t>
  </si>
  <si>
    <t>Sample Variance (How many hours do spend studying per week?)</t>
  </si>
  <si>
    <t>Sample Variance (How many breaks do you take during a study session?)</t>
  </si>
  <si>
    <t>Sample Variance (How many classes you attend per day?)</t>
  </si>
  <si>
    <t>Sample Variance (How many hours per day do you use digital screen academic purpose?)</t>
  </si>
  <si>
    <t>Sample Variance (How many assignments did you submit late this semester due to stress?)</t>
  </si>
  <si>
    <t>Sample Variance (How many days do you feel overwhelmed due to academic workload?)</t>
  </si>
  <si>
    <t>Sample Variance (How many mental health counselling sessions have you attended this semester?)</t>
  </si>
  <si>
    <t>Sample Variance (How many rest days do you give yourself per month?)</t>
  </si>
  <si>
    <t>Standard Deviation (How old are you in years?)</t>
  </si>
  <si>
    <t>Standard Deviation (How many hours do you sleep at night?)</t>
  </si>
  <si>
    <t>Standard Deviation (How many hours do spend studying per week?)</t>
  </si>
  <si>
    <t>Standard Deviation (How many breaks do you take during a study session?)</t>
  </si>
  <si>
    <t>Standard Deviation (How many classes you attend per day?)</t>
  </si>
  <si>
    <t>Standard Deviation (How many hours per day do you use digital screen academic purpose?)</t>
  </si>
  <si>
    <t>Standard Deviation (How many assignments did you submit late this semester due to stress?)</t>
  </si>
  <si>
    <t>Standard Deviation (How many days do you feel overwhelmed due to academic workload?)</t>
  </si>
  <si>
    <t>Standard Deviation (How many mental health counselling sessions have you attended this semester?)</t>
  </si>
  <si>
    <t>Standard Deviation (How many rest days do you give yourself per month?)</t>
  </si>
  <si>
    <t>Percentiles [25th, 50th, 75th] (How old are you in years?)</t>
  </si>
  <si>
    <t>Histogram (How old are you in years?)</t>
  </si>
  <si>
    <t>Box Plot (How old are you in years?)</t>
  </si>
  <si>
    <t>Interquartile Range [Q1, Q3, IQ] (How many hours do you sleep at night?)</t>
  </si>
  <si>
    <t>Interquartile Range [Q1, Q3, IQ] (How many hours do spend studying per week?)</t>
  </si>
  <si>
    <t>Interquartile Range [Q1, Q3, IQ] (How many breaks do you take during a study session?)</t>
  </si>
  <si>
    <t>Interquartile Range [Q1, Q3, IQ](How many classes you attend per day?)</t>
  </si>
  <si>
    <t>Interquartile Range [Q1, Q3, IQ] (How many assignments did you submit late this semester due to stress?)</t>
  </si>
  <si>
    <t>Interquartile Range [Q1, Q3, IQ] (How many days do you feel overwhelmed due to academic workload?)</t>
  </si>
  <si>
    <t>Interquartile Range [Q1, Q3, IQ] (How many mental health counselling sessions have you attended this semester?)</t>
  </si>
  <si>
    <t>Interquartile Range [Q1, Q3, IQ] (How many rest days do you give yourself per month?)</t>
  </si>
  <si>
    <t>Percentiles [25th, 50th, 75th] (How many hours do you sleep at night?)</t>
  </si>
  <si>
    <t>Percentiles [25th, 50th, 75th] (How many hours do spend studying per week?)</t>
  </si>
  <si>
    <t>Percentiles [25th, 50th, 75th] (How many breaks do you take during a study session?)</t>
  </si>
  <si>
    <t>Percentiles [25th, 50th, 75th] (How many classes you attend per day?)</t>
  </si>
  <si>
    <t>Percentiles [25th, 50th, 75th] (How many hours per day do you use digital screen academic purpose?)</t>
  </si>
  <si>
    <t>Percentiles [25th, 50th, 75th] (How many assignments did you submit late this semester due to stress?)</t>
  </si>
  <si>
    <t>Percentiles [25th, 50th, 75th] (How many days do you feel overwhelmed due to academic workload?)</t>
  </si>
  <si>
    <t>Percentiles [25th, 50th, 75th] (How many mental health counselling sessions have you attended this semester?)</t>
  </si>
  <si>
    <t>Percentiles [25th, 50th, 75th] (How many rest days do you give yourself per month?)</t>
  </si>
  <si>
    <t>Histogram (How many hours do you sleep at night?)</t>
  </si>
  <si>
    <t>Histogram (How many hours do spend studying per week?)</t>
  </si>
  <si>
    <t>Histogram (How many breaks do you take during a study session?)</t>
  </si>
  <si>
    <t>Histogram (How many classes you attend per day?)</t>
  </si>
  <si>
    <t>Histogram (How many hours per day do you use digital screen academic purpose?)</t>
  </si>
  <si>
    <t>Histogram (How many assignments did you submit late this semester due to stress?)</t>
  </si>
  <si>
    <t>Histogram (How many days do you feel overwhelmed due to academic workload?)</t>
  </si>
  <si>
    <t>Histogram (How many mental health counselling sessions have you attended this semester?)</t>
  </si>
  <si>
    <t>Histogram (How many rest days do you give yourself per month?)</t>
  </si>
  <si>
    <t>Box Plot (How many hours do you sleep at night?)</t>
  </si>
  <si>
    <t>Box Plot (How many hours do spend studying per week?)</t>
  </si>
  <si>
    <t>Box Plot (How many breaks do you take during a study session?)</t>
  </si>
  <si>
    <t>Box Plot (How many days do you feel overwhelmed due to academic workload?)</t>
  </si>
  <si>
    <t>Box Plot (How many mental health counselling sessions have you attended this semester?)</t>
  </si>
  <si>
    <t>Box Plot (How many rest days do you give yourself per month?)</t>
  </si>
  <si>
    <t>Frequency Distributions "Low, Moderate, High, Extreme" (How would you rate your academic stress level? )</t>
  </si>
  <si>
    <t>Frequency Distributions "Rarely, Often, Sometimes, Always" (How often do you feel emotionally drained by academic work?  )</t>
  </si>
  <si>
    <t>Frequency Distributions "None, Mild, Moderate, Severe" (How severe are your physical stress symptoms (e.g., headaches)? )</t>
  </si>
  <si>
    <t>MEAN</t>
  </si>
  <si>
    <t>MEDIAN</t>
  </si>
  <si>
    <t>MODE</t>
  </si>
  <si>
    <t>RANGE</t>
  </si>
  <si>
    <t>SAMPLE VARIANCE</t>
  </si>
  <si>
    <t>STANDARD DEVIATION</t>
  </si>
  <si>
    <t>Interquartile Range [Q1, Q3, IQR] (How old are you in years?)</t>
  </si>
  <si>
    <t>INTERQUARTILE RANGE [Q1, Q3, IQR]</t>
  </si>
  <si>
    <t>PERCENTILES [25TH, 50TH, 75TH]</t>
  </si>
  <si>
    <t xml:space="preserve">FREQUENCY DISTRIBUTIONS </t>
  </si>
  <si>
    <t>Frequency Distributions "Never, Often, Sometimes, Always" (How would you rate your academic stress level? )</t>
  </si>
  <si>
    <t>Frequency Distributions "Relieved, Indifferent, Still anxious, Even more stressed" (How do you feel after submitting major assignments? )</t>
  </si>
  <si>
    <t>Frequency Distributions "Poorly, Fair, Well, Very Well" (How well do you manage academic pressure? )</t>
  </si>
  <si>
    <t>Frequency Distributions "Very Poor, Poor, Good, Excellent" (How would you rate your time management skills? )</t>
  </si>
  <si>
    <t>Frequency Distributions "Never, Rarely, Sometimes, Frequently" (How often do you practice self-care during semesters? )</t>
  </si>
  <si>
    <t>Frequency Distributions "Never, Often, Occasionally, Always" (How often do you feel supported by peers during stress? )</t>
  </si>
  <si>
    <t>Frequency Distributions "Not important, Somewhat important, Important, Extremely important" (How important is mental health at your university? )</t>
  </si>
  <si>
    <t xml:space="preserve">PERCENTAGE DISTRIBUTIONS </t>
  </si>
  <si>
    <t>Percentage Distributions "Low, Moderate, High, Extreme" (How would you rate your academic stress level? )</t>
  </si>
  <si>
    <t>Percentage Distributions "Rarely, Often, Sometimes, Always" (How often do you feel emotionally drained by academic work?  )</t>
  </si>
  <si>
    <t>BOX PLOTS</t>
  </si>
  <si>
    <t>HISTOGRAMS</t>
  </si>
  <si>
    <t>Percentage Distributions "None, Mild, Moderate, Severe" (How severe are your physical stress symptoms (e.g., headaches)? )</t>
  </si>
  <si>
    <t>Percentage Distributions "Never, Often, Sometimes, Always" (How would you rate your academic stress level? )</t>
  </si>
  <si>
    <t>Percentage Distributions "Relieved, Indifferent, Still anxious, Even more stressed" (How do you feel after submitting major assignments? )</t>
  </si>
  <si>
    <t>Percentage Distributions "Poorly, Fair, Well, Very Well" (How well do you manage academic pressure? )</t>
  </si>
  <si>
    <t>Percentage Distributions "Very Poor, Poor, Good, Excellent" (How would you rate your time management skills? )</t>
  </si>
  <si>
    <t>Percentage Distributions "Never, Rarely, Sometimes, Frequently" (How often do you practice self-care during semesters? )</t>
  </si>
  <si>
    <t>Percentage Distributions "Never, Often, Occasionally, Always" (How often do you feel supported by peers during stress? )</t>
  </si>
  <si>
    <t>Percentage Distributions "Not important, Somewhat important, Important, Extremely important" (How important is mental health at your university? )</t>
  </si>
  <si>
    <t>Grand Total</t>
  </si>
  <si>
    <t>COFFICIENT OF VARIATION</t>
  </si>
  <si>
    <t>Cofficient of Variation (How old are you in years?)</t>
  </si>
  <si>
    <t>Cofficient of Variation (How many hours do you sleep at night?)</t>
  </si>
  <si>
    <t>Cofficient of Variation (How many hours do spend studying per week?)</t>
  </si>
  <si>
    <t>Cofficient of Variation (How many breaks do you take during a study session?)</t>
  </si>
  <si>
    <t>Cofficient of Variation (How many classes you attend per day?)</t>
  </si>
  <si>
    <t>Cofficient of Variation (How many hours per day do you use digital screen academic purpose?)</t>
  </si>
  <si>
    <t>Cofficient of Variation (How many assignments did you submit late this semester due to stress?)</t>
  </si>
  <si>
    <t>Cofficient of Variation (How many days do you feel overwhelmed due to academic workload?)</t>
  </si>
  <si>
    <t>Cofficient of Variation (How many rest days do you give yourself per month?)</t>
  </si>
  <si>
    <t>Box Plot (How many classes you attend per day?)</t>
  </si>
  <si>
    <t>Box Plot (How many hours per day do you use digital screen academic purpose?)</t>
  </si>
  <si>
    <t>Box Plot (How many assignments did you submit late this semester due to stress?)</t>
  </si>
  <si>
    <t>Scatter Plot (How old are you in years?)</t>
  </si>
  <si>
    <t>SCATTER PLOT</t>
  </si>
  <si>
    <t>Scatter Plot (How many hours do you sleep at night?)</t>
  </si>
  <si>
    <t>Scatter Plot (How many hours do spend studying per week?)</t>
  </si>
  <si>
    <t>Scatter Plot (How many breaks do you take during a study session?)</t>
  </si>
  <si>
    <t>Scatter Plot (How many classes you attend per day?)</t>
  </si>
  <si>
    <t>Scatter Plot (How many hours per day do you use digital screen academic purpose?)</t>
  </si>
  <si>
    <t>Scatter Plot (How many assignments did you submit late this semester due to stress?)</t>
  </si>
  <si>
    <t>Scatter Plot (How many days do you feel overwhelmed due to academic workload?)</t>
  </si>
  <si>
    <t>Scatter Plot (How many mental health counselling sessions have you attended this semester?)</t>
  </si>
  <si>
    <t>Cofficient of Variation (How many mental health counselling sessions have you attended this semester?)</t>
  </si>
  <si>
    <t>Scatter Plot (How many rest days do you give yourself per month?)</t>
  </si>
  <si>
    <t>FREQUENCY DISTRIBUTION</t>
  </si>
  <si>
    <t>Frequency Distribution "Sciences", "Engineering", "Business" (What is your major?)</t>
  </si>
  <si>
    <t>Frequency Distribution "Male", "Female" ( What is your gender?)</t>
  </si>
  <si>
    <t>Frequency Distribution "Private", "Public" (What type of institution are you at?)</t>
  </si>
  <si>
    <t>Frequency Distribution "Hobbies", "Sleep", "Talking to friends", "None" (What is your preferred stressed coping mechanism?)</t>
  </si>
  <si>
    <t>Frequency Distribution "Gaming", "Journaling", "Meditation", "Music" (What stress relief activity do you prefer?)</t>
  </si>
  <si>
    <t>Frequency Distribution "Solo", "Online resources", "Tutoring", "Group study" (What is your preferred study method?)</t>
  </si>
  <si>
    <t>Frequency Distribution "Peer support", "Online therapy", "Counseling center", "None" (Which mental health resources do you use?)</t>
  </si>
  <si>
    <t>Frequency Distribution "Exams / Assignments", "Personal expectations", "Lack of support", "Time pressure" (What contributes most to your academic stress?)</t>
  </si>
  <si>
    <t>Frequency Distribution "Instagram", "Youtube", "TikTok", "None"(Which social media do you use most (affecting stress)?)</t>
  </si>
  <si>
    <t>PERCENTAGE DISTRIBUTION</t>
  </si>
  <si>
    <t>Frequency Distribution "1st year", "2nd year", "3rd year", "4th year" (What is your year of study?)</t>
  </si>
  <si>
    <t>Percentage Distribution "1st year", "2nd year", "3rd year", "4th year" (What is your year of study?)</t>
  </si>
  <si>
    <t xml:space="preserve">BAR CHART </t>
  </si>
  <si>
    <t>Bar Chart (What is your year of study?)</t>
  </si>
  <si>
    <t>Bar Chart(What is your major?)</t>
  </si>
  <si>
    <t>Bar Chart ( What is your gender?)</t>
  </si>
  <si>
    <t>Bar Chart (What type of institution are you at?)</t>
  </si>
  <si>
    <t>Bar Chart "Hobbies", "Sleep", "Talking to friends", "None" (What is your preferred stressed coping mechanism?)</t>
  </si>
  <si>
    <t>Bar Chart "Gaming", "Journaling", "Meditation", "Music" (What stress relief activity do you prefer?)</t>
  </si>
  <si>
    <t>Bar Chart "Solo", "Online resources", "Tutoring", "Group study" (What is your preferred study method?)</t>
  </si>
  <si>
    <t>Bar Chart "Peer support", "Online therapy", "Counseling center", "None" (Which mental health resources do you use?)</t>
  </si>
  <si>
    <t>Bar Chart "Exams / Assignments", "Personal expectations", "Lack of support", "Time pressure" (What contributes most to your academic stress?)</t>
  </si>
  <si>
    <t>Bar Chart "Instagram", "Youtube", "TikTok", "None"(Which social media do you use most (affecting stress)?)</t>
  </si>
  <si>
    <r>
      <rPr>
        <b/>
        <sz val="20"/>
        <color rgb="FF000000"/>
        <rFont val="Arial"/>
        <family val="2"/>
        <scheme val="minor"/>
      </rPr>
      <t>MEAN</t>
    </r>
    <r>
      <rPr>
        <b/>
        <sz val="10"/>
        <color rgb="FF000000"/>
        <rFont val="Arial"/>
        <family val="2"/>
        <scheme val="minor"/>
      </rPr>
      <t xml:space="preserve"> </t>
    </r>
  </si>
  <si>
    <t>Mean and average (Rate each statement based on your own experiences. [I feel stress during finals week.])</t>
  </si>
  <si>
    <t>Mean and average (Rate each statement based on your own experiences. [I often feel anxious.])</t>
  </si>
  <si>
    <t>Mean and average (Rate each statement based on your own experiences. [I frequently experience burnout.])</t>
  </si>
  <si>
    <t>Mean and average (Rate each statement based on your own experiences. [I feel pressured to maintain academic performance.])</t>
  </si>
  <si>
    <t>Mean and average (Rate each statement based on your own experiences. [I am confident in managing my stress.])</t>
  </si>
  <si>
    <t>Mean and average (Rate each statement based on your own experiences. [I feel good about my emotional well-being.])</t>
  </si>
  <si>
    <t>Mean and average (Rate each statement based on your own experiences. [I have high energy levels during the semester.])</t>
  </si>
  <si>
    <t>Mean and average (Rate each statement based on your own experiences. [I can concentrate well on my tasks.])</t>
  </si>
  <si>
    <t>Mean and average (Rate each statement based on your own experiences. [I sleep well during exam periods.])</t>
  </si>
  <si>
    <t>Mean and average (Rate each statement based on your own experiences. [I am satisfied with the mental health support available.])</t>
  </si>
  <si>
    <t>Median (Rate each statement based on your own experiences. [I feel stress during finals week.])</t>
  </si>
  <si>
    <t>Median (Rate each statement based on your own experiences. [I often feel anxious.])</t>
  </si>
  <si>
    <t>Median (Rate each statement based on your own experiences. [I frequently experience burnout.])</t>
  </si>
  <si>
    <t>Median(Rate each statement based on your own experiences. [I feel pressured to maintain academic performance.])</t>
  </si>
  <si>
    <t>Median (Rate each statement based on your own experiences. [I am confident in managing my stress.])</t>
  </si>
  <si>
    <t>Median (Rate each statement based on your own experiences. [I feel good about my emotional well-being.])</t>
  </si>
  <si>
    <t>Median (Rate each statement based on your own experiences. [I have high energy levels during the semester.])</t>
  </si>
  <si>
    <t>Median (Rate each statement based on your own experiences. [I can concentrate well on my tasks.])</t>
  </si>
  <si>
    <t>Median (Rate each statement based on your own experiences. [I sleep well during exam periods.])</t>
  </si>
  <si>
    <t>Median (Rate each statement based on your own experiences. [I am satisfied with the mental health support available.])</t>
  </si>
  <si>
    <t>Mode (Rate each statement based on your own experiences. [I feel stress during finals week.])</t>
  </si>
  <si>
    <t>Mode (Rate each statement based on your own experiences. [I often feel anxious.])</t>
  </si>
  <si>
    <t>Mode (Rate each statement based on your own experiences. [I frequently experience burnout.])</t>
  </si>
  <si>
    <t>Mode (Rate each statement based on your own experiences. [I feel pressured to maintain academic performance.])</t>
  </si>
  <si>
    <t>Mode (Rate each statement based on your own experiences. [I am confident in managing my stress.])</t>
  </si>
  <si>
    <t>Mode (Rate each statement based on your own experiences. [I feel good about my emotional well-being.])</t>
  </si>
  <si>
    <t>Mode (Rate each statement based on your own experiences. [I have high energy levels during the semester.])</t>
  </si>
  <si>
    <t>Mode (Rate each statement based on your own experiences. [I can concentrate well on my tasks.])</t>
  </si>
  <si>
    <t>Mode (Rate each statement based on your own experiences. [I sleep well during exam periods.])</t>
  </si>
  <si>
    <t>Mode (Rate each statement based on your own experiences. [I am satisfied with the mental health support available.])</t>
  </si>
  <si>
    <t>Range (Rate each statement based on your own experiences. [I feel stress during finals week.])</t>
  </si>
  <si>
    <t>Range (Rate each statement based on your own experiences. [I often feel anxious.])</t>
  </si>
  <si>
    <t>Range (Rate each statement based on your own experiences. [I frequently experience burnout.])</t>
  </si>
  <si>
    <t>Range (Rate each statement based on your own experiences. [I feel pressured to maintain academic performance.])</t>
  </si>
  <si>
    <t>Range (Rate each statement based on your own experiences. [I am confident in managing my stress.])</t>
  </si>
  <si>
    <t>Range (Rate each statement based on your own experiences. [I feel good about my emotional well-being.])</t>
  </si>
  <si>
    <t>Range (Rate each statement based on your own experiences. [I have high energy levels during the semester.])</t>
  </si>
  <si>
    <t>Range (Rate each statement based on your own experiences. [I can concentrate well on my tasks.])</t>
  </si>
  <si>
    <t>Range (Rate each statement based on your own experiences. [I sleep well during exam periods.])</t>
  </si>
  <si>
    <t>Range (Rate each statement based on your own experiences. [I am satisfied with the mental health support available.])</t>
  </si>
  <si>
    <t>Sample Variance (Rate each statement based on your own experiences. [I feel stress during finals week.])</t>
  </si>
  <si>
    <t>Sample Variance (Rate each statement based on your own experiences. [I often feel anxious.])</t>
  </si>
  <si>
    <t>Sample Variance (Rate each statement based on your own experiences. [I frequently experience burnout.])</t>
  </si>
  <si>
    <t>Sample Variance (Rate each statement based on your own experiences. [I feel pressured to maintain academic performance.])</t>
  </si>
  <si>
    <t>Sample Variance (Rate each statement based on your own experiences. [I am confident in managing my stress.])</t>
  </si>
  <si>
    <t>Sample Variance (Rate each statement based on your own experiences. [I feel good about my emotional well-being.])</t>
  </si>
  <si>
    <t>Sample Variance (Rate each statement based on your own experiences. [I have high energy levels during the semester.])</t>
  </si>
  <si>
    <t>Sample Variance (Rate each statement based on your own experiences. [I can concentrate well on my tasks.])</t>
  </si>
  <si>
    <t>Sample Variance (Rate each statement based on your own experiences. [I sleep well during exam periods.])</t>
  </si>
  <si>
    <t>Sample Variance (Rate each statement based on your own experiences. [I am satisfied with the mental health support available.])</t>
  </si>
  <si>
    <t>Sample Deviation (Rate each statement based on your own experiences. [I feel stress during finals week.])</t>
  </si>
  <si>
    <t>Sample Deviation (Rate each statement based on your own experiences. [I often feel anxious.])</t>
  </si>
  <si>
    <t>Sample Deviation (Rate each statement based on your own experiences. [I frequently experience burnout.])</t>
  </si>
  <si>
    <t>Sample Deviation (Rate each statement based on your own experiences. [I feel pressured to maintain academic performance.])</t>
  </si>
  <si>
    <t>Sample Deviation (Rate each statement based on your own experiences. [I am confident in managing my stress.])</t>
  </si>
  <si>
    <t>Sample Deviation (Rate each statement based on your own experiences. [I feel good about my emotional well-being.])</t>
  </si>
  <si>
    <t>Sample Deviation (Rate each statement based on your own experiences. [I have high energy levels during the semester.])</t>
  </si>
  <si>
    <t>Sample Deviation (Rate each statement based on your own experiences. [I can concentrate well on my tasks.])</t>
  </si>
  <si>
    <t>Sample Deviation (Rate each statement based on your own experiences. [I sleep well during exam periods.])</t>
  </si>
  <si>
    <t>Sample Deviation (Rate each statement based on your own experiences. [I am satisfied with the mental health support available.])</t>
  </si>
  <si>
    <t>Interquartile Range [Q1, Q3, IQR] (Rate each statement based on your own experiences. [I feel stress during finals week.])</t>
  </si>
  <si>
    <t>Interquartile Range [Q1, Q3, IQR] (Rate each statement based on your own experiences. [I often feel anxious.])</t>
  </si>
  <si>
    <t>Interquartile Range [Q1, Q3, IQR] (Rate each statement based on your own experiences. [I frequently experience burnout.])</t>
  </si>
  <si>
    <t>Interquartile Range [Q1, Q3, IQR] (Rate each statement based on your own experiences. [I feel pressured to maintain academic performance.])</t>
  </si>
  <si>
    <t>Interquartile Range [Q1, Q3, IQR] (Rate each statement based on your own experiences. [I am confident in managing my stress.])</t>
  </si>
  <si>
    <t>Interquartile Range [Q1, Q3, IQR](Rate each statement based on your own experiences. [I feel good about my emotional well-being.])</t>
  </si>
  <si>
    <t>Interquartile Range [Q1, Q3, IQR] (Rate each statement based on your own experiences. [I have high energy levels during the semester.])</t>
  </si>
  <si>
    <t>Interquartile Range [Q1, Q3, IQR] (Rate each statement based on your own experiences. [I can concentrate well on my tasks.])</t>
  </si>
  <si>
    <t>Interquartile Range [Q1, Q3, IQR] (Rate each statement based on your own experiences. [I sleep well during exam periods.])</t>
  </si>
  <si>
    <t>Interquartile Range [Q1, Q3, IQR] (Rate each statement based on your own experiences. [I am satisfied with the mental health support available.])</t>
  </si>
  <si>
    <t>Percentiles [25th, 50th, 75th] (Rate each statement based on your own experiences. [I feel stress during finals week.])</t>
  </si>
  <si>
    <t>Percentiles [25th, 50th, 75th] (Rate each statement based on your own experiences. [I often feel anxious.])</t>
  </si>
  <si>
    <t>Percentiles [25th, 50th, 75th] (Rate each statement based on your own experiences. [I frequently experience burnout.])</t>
  </si>
  <si>
    <t>Percentiles [25th, 50th, 75th] (Rate each statement based on your own experiences. [I feel pressured to maintain academic performance.])</t>
  </si>
  <si>
    <t>Percentiles [25th, 50th, 75th] (Rate each statement based on your own experiences. [I am confident in managing my stress.])</t>
  </si>
  <si>
    <t>Percentiles [25th, 50th, 75th] (Rate each statement based on your own experiences. [I feel good about my emotional well-being.])</t>
  </si>
  <si>
    <t>Percentiles [25th, 50th, 75th] (Rate each statement based on your own experiences. [I have high energy levels during the semester.])</t>
  </si>
  <si>
    <t>Percentiles [25th, 50th, 75th] (Rate each statement based on your own experiences. [I can concentrate well on my tasks.])</t>
  </si>
  <si>
    <t>Percentiles [25th, 50th, 75th] (Rate each statement based on your own experiences. [I sleep well during exam periods.])</t>
  </si>
  <si>
    <t>Percentiles [25th, 50th, 75th] (Rate each statement based on your own experiences. [I am satisfied with the mental health support available.])</t>
  </si>
  <si>
    <t>Cofficient of Variation (Rate each statement based on your own experiences. [I feel stress during finals week.])</t>
  </si>
  <si>
    <t>Cofficient of Variation (Rate each statement based on your own experiences. [I often feel anxious.])</t>
  </si>
  <si>
    <t>Cofficient of Variation (Rate each statement based on your own experiences. [I frequently experience burnout.])</t>
  </si>
  <si>
    <t>Cofficient of Variation (Rate each statement based on your own experiences. [I feel pressured to maintain academic performance.])</t>
  </si>
  <si>
    <t>Cofficient of Variation (Rate each statement based on your own experiences. [I am confident in managing my stress.])</t>
  </si>
  <si>
    <t>Cofficient of Variation (Rate each statement based on your own experiences. [I feel good about my emotional well-being.])</t>
  </si>
  <si>
    <t>Cofficient of Variation (Rate each statement based on your own experiences. [I have high energy levels during the semester.])</t>
  </si>
  <si>
    <t>Cofficient of Variation(Rate each statement based on your own experiences. [I can concentrate well on my tasks.])</t>
  </si>
  <si>
    <t>Cofficient of Variation (Rate each statement based on your own experiences. [I sleep well during exam periods.])</t>
  </si>
  <si>
    <t>Cofficient of Variation (Rate each statement based on your own experiences. [I am satisfied with the mental health support available.])</t>
  </si>
  <si>
    <t>Histogram (Rate each statement based on your own experiences. [I feel stress during finals week.])</t>
  </si>
  <si>
    <t>Histogram (Rate each statement based on your own experiences. [I often feel anxious.])</t>
  </si>
  <si>
    <t>Histogram (Rate each statement based on your own experiences. [I frequently experience burnout.])</t>
  </si>
  <si>
    <t>Histogram (Rate each statement based on your own experiences. [I feel pressured to maintain academic performance.])</t>
  </si>
  <si>
    <t>Histogram (Rate each statement based on your own experiences. [I am confident in managing my stress.])</t>
  </si>
  <si>
    <t>Histogram (Rate each statement based on your own experiences. [I feel good about my emotional well-being.])</t>
  </si>
  <si>
    <t>Histogram (Rate each statement based on your own experiences. [I have high energy levels during the semester.])</t>
  </si>
  <si>
    <t>Histogram (Rate each statement based on your own experiences. [I can concentrate well on my tasks.])</t>
  </si>
  <si>
    <t>Histogram (Rate each statement based on your own experiences. [I sleep well during exam periods.])</t>
  </si>
  <si>
    <t>Histogram (Rate each statement based on your own experiences. [I am satisfied with the mental health support available.])</t>
  </si>
  <si>
    <t>BOX PLOT</t>
  </si>
  <si>
    <t>Box Plot  (Rate each statement based on your own experiences. [I feel stress during finals week.])</t>
  </si>
  <si>
    <t>Box Plot  (Rate each statement based on your own experiences. [I often feel anxious.])</t>
  </si>
  <si>
    <t>Box Plot  (Rate each statement based on your own experiences. [I frequently experience burnout.])</t>
  </si>
  <si>
    <t>Box Plot  (Rate each statement based on your own experiences. [I feel pressured to maintain academic performance.])</t>
  </si>
  <si>
    <t>Box Plot  (Rate each statement based on your own experiences. [I am confident in managing my stress.])</t>
  </si>
  <si>
    <t>Box Plot  (Rate each statement based on your own experiences. [I feel good about my emotional well-being.])</t>
  </si>
  <si>
    <t>Box Plot  (Rate each statement based on your own experiences. [I have high energy levels during the semester.])</t>
  </si>
  <si>
    <t>Box Plot  (Rate each statement based on your own experiences. [I can concentrate well on my tasks.])</t>
  </si>
  <si>
    <t>Box Plot  (Rate each statement based on your own experiences. [I sleep well during exam periods.])</t>
  </si>
  <si>
    <t>Box Plot  (Rate each statement based on your own experiences. [I am satisfied with the mental health support available.])</t>
  </si>
  <si>
    <t>Scatter Plot  (Rate each statement based on your own experiences. [I feel stress during finals week.])</t>
  </si>
  <si>
    <t>Scatter Plott  (Rate each statement based on your own experiences. [I often feel anxious.])</t>
  </si>
  <si>
    <t>Scatter Plot  (Rate each statement based on your own experiences. [I frequently experience burnout.])</t>
  </si>
  <si>
    <t>Scatter Plot  (Rate each statement based on your own experiences. [I feel pressured to maintain academic performance.])</t>
  </si>
  <si>
    <t>Scatter Plot (Rate each statement based on your own experiences. [I am confident in managing my stress.])</t>
  </si>
  <si>
    <t>Scatter Plot  (Rate each statement based on your own experiences. [I feel good about my emotional well-being.])</t>
  </si>
  <si>
    <t>Scatter Plot  (Rate each statement based on your own experiences. [I have high energy levels during the semester.])</t>
  </si>
  <si>
    <t>Scatter Plot (Rate each statement based on your own experiences. [I can concentrate well on my tasks.])</t>
  </si>
  <si>
    <t>Scatter Plot  (Rate each statement based on your own experiences. [I sleep well during exam periods.])</t>
  </si>
  <si>
    <t>Scatter Plot  (Rate each statement based on your own experiences. [I am satisfied with the mental health support available.])</t>
  </si>
  <si>
    <t>OUTLIER DETECTION</t>
  </si>
  <si>
    <t>Outlier Detection  (Rate each statement based on your own experiences. [I often feel anxious.])</t>
  </si>
  <si>
    <t>Outlier Detection  (Rate each statement based on your own experiences. [I frequently experience burnout.])</t>
  </si>
  <si>
    <t>Outlier Detection (Rate each statement based on your own experiences. [I feel pressured to maintain academic performance.])</t>
  </si>
  <si>
    <t>Outlier Detection (Rate each statement based on your own experiences. [I am confident in managing my stress.])</t>
  </si>
  <si>
    <t>Outlier Detection  (Rate each statement based on your own experiences. [I feel good about my emotional well-being.])</t>
  </si>
  <si>
    <t>Outlier Detection (Rate each statement based on your own experiences. [I have high energy levels during the semester.])</t>
  </si>
  <si>
    <t>Outlier Detection (Rate each statement based on your own experiences. [I can concentrate well on my tasks.])</t>
  </si>
  <si>
    <t>Outlier Detection (Rate each statement based on your own experiences. [I sleep well during exam periods.])</t>
  </si>
  <si>
    <t>Outlier Detection  (Rate each statement based on your own experiences. [I am satisfied with the mental health support available.])</t>
  </si>
  <si>
    <t>SHAPE OF THE DISTRIBUTION (SKEWNESS)</t>
  </si>
  <si>
    <t>Outlier Detection  (Rate each statement based on your own experiences. [I feel stress during finals week.])</t>
  </si>
  <si>
    <t>Skewness  (Rate each statement based on your own experiences. [I feel stress during finals week.])</t>
  </si>
  <si>
    <t>Skewness   (Rate each statement based on your own experiences. [I often feel anxious.])</t>
  </si>
  <si>
    <t>Skewness  (Rate each statement based on your own experiences. [I frequently experience burnout.])</t>
  </si>
  <si>
    <t>Skewness  (Rate each statement based on your own experiences. [I feel pressured to maintain academic performance.])</t>
  </si>
  <si>
    <t>Skewness  (Rate each statement based on your own experiences. [I am confident in managing my stress.])</t>
  </si>
  <si>
    <t>Skewness  (Rate each statement based on your own experiences. [I feel good about my emotional well-being.])</t>
  </si>
  <si>
    <t>Skewness  (Rate each statement based on your own experiences. [I have high energy levels during the semester.])</t>
  </si>
  <si>
    <t>Skewness  (Rate each statement based on your own experiences. [I can concentrate well on my tasks.])</t>
  </si>
  <si>
    <t>Skewness  (Rate each statement based on your own experiences. [I sleep well during exam periods.])</t>
  </si>
  <si>
    <t>Skewness  (Rate each statement based on your own experiences. [I am satisfied with the mental health support available.])</t>
  </si>
  <si>
    <t>PROBABILITY</t>
  </si>
  <si>
    <t>Probability of 1,2,3,4,5 (Rate each statement based on your own experiences. [I feel stress during finals week.])</t>
  </si>
  <si>
    <t>Probability of 1,2,3,4,5 (Rate each statement based on your own experiences. [I often feel anxious.])</t>
  </si>
  <si>
    <t>Probability of 1,2,3,4,5 (Rate each statement based on your own experiences. [I frequently experience burnout.])</t>
  </si>
  <si>
    <t>Probability of 1,2,3,4,5  (Rate each statement based on your own experiences. [I feel pressured to maintain academic performance.])</t>
  </si>
  <si>
    <t>Probability of 1,2,3,4,5  (Rate each statement based on your own experiences. [I am confident in managing my stress.])</t>
  </si>
  <si>
    <t>Probability of 1,2,3,4,5  (Rate each statement based on your own experiences. [I feel good about my emotional well-being.])</t>
  </si>
  <si>
    <t>Probability of 1,2,3,4,5  (Rate each statement based on your own experiences. [I have high energy levels during the semester.])</t>
  </si>
  <si>
    <t>Probability of 1,2,3,4,5  (Rate each statement based on your own experiences. [I can concentrate well on my tasks.])</t>
  </si>
  <si>
    <t>Probability of 1,2,3,4,5  (Rate each statement based on your own experiences. [I sleep well during exam periods.])</t>
  </si>
  <si>
    <t>Probability of 1,2,3,4,5  (Rate each statement based on your own experiences. [I am satisfied with the mental health support available.])</t>
  </si>
  <si>
    <t>CORRELATION ANALYSIS</t>
  </si>
  <si>
    <t>Correlation Analysis of Column A &amp; B (Rate each statement based on your own experiences. [I feel stress during finals week.])</t>
  </si>
  <si>
    <t>Correlation Analysis of Column B &amp; C (Rate each statement based on your own experiences. [I often feel anxious.])</t>
  </si>
  <si>
    <t>Correlation Analysis of Column C &amp; D (Rate each statement based on your own experiences. [I frequently experience burnout.])</t>
  </si>
  <si>
    <t>Correlation Analysis of Column D &amp; E  (Rate each statement based on your own experiences. [I feel pressured to maintain academic performance.])</t>
  </si>
  <si>
    <t>Correlation Analysis of Column E &amp; F (Rate each statement based on your own experiences. [I am confident in managing my stress.])</t>
  </si>
  <si>
    <t>Correlation Analysis of Column F &amp; G  (Rate each statement based on your own experiences. [I feel good about my emotional well-being.])</t>
  </si>
  <si>
    <t>Correlation Analysis of Column G &amp; H (Rate each statement based on your own experiences. [I have high energy levels during the semester.])</t>
  </si>
  <si>
    <t>Correlation Analysis of Column H &amp; I  (Rate each statement based on your own experiences. [I can concentrate well on my tasks.])</t>
  </si>
  <si>
    <t>Correlation Analysis of Column I &amp; J  (Rate each statement based on your own experiences. [I sleep well during exam periods.])</t>
  </si>
  <si>
    <t>Correlation Analysis of Column J &amp; A  (Rate each statement based on your own experiences. [I am satisfied with the mental health support available.])</t>
  </si>
  <si>
    <t>Outlier Detection (How old are you in years?)</t>
  </si>
  <si>
    <t>Outlier Detection(How many hours do you sleep at night?)</t>
  </si>
  <si>
    <t>Outlier Detection (How many hours do spend studying per week?)</t>
  </si>
  <si>
    <t>Outlier Detection (How many breaks do you take during a study session?)</t>
  </si>
  <si>
    <t>Outlier Detection (How many classes you attend per day?)</t>
  </si>
  <si>
    <t>Outlier Detection (How many hours per day do you use digital screen academic purpose?)</t>
  </si>
  <si>
    <t>Outlier Detection (How many assignments did you submit late this semester due to stress?)</t>
  </si>
  <si>
    <t>Outlier Detection (How many days do you feel overwhelmed due to academic workload?)</t>
  </si>
  <si>
    <t>Outlier Detection (How many mental health counselling sessions have you attended this semester?)</t>
  </si>
  <si>
    <t>Outlier Detection (How many rest days do you give yourself per month?)</t>
  </si>
  <si>
    <t>Skewness (How old are you in years?)</t>
  </si>
  <si>
    <t>Skewness (How many hours do you sleep at night?)</t>
  </si>
  <si>
    <t>Skewness (How many hours do spend studying per week?)</t>
  </si>
  <si>
    <t>Skewness (How many breaks do you take during a study session?)</t>
  </si>
  <si>
    <t>Skewness (How many classes you attend per day?)</t>
  </si>
  <si>
    <t>Skewness (How many hours per day do you use digital screen academic purpose?)</t>
  </si>
  <si>
    <t>Skewness (How many assignments did you submit late this semester due to stress?)</t>
  </si>
  <si>
    <t>Skewness (How many days do you feel overwhelmed due to academic workload?)</t>
  </si>
  <si>
    <t>Skewness (How many mental health counselling sessions have you attended this semester?)</t>
  </si>
  <si>
    <t>Skewness (How many rest days do you give yourself per month?)</t>
  </si>
  <si>
    <t>Correlation Analysis</t>
  </si>
  <si>
    <t xml:space="preserve"> Correlation Analysis of Column A &amp; B (How old are you in years?)</t>
  </si>
  <si>
    <t xml:space="preserve"> Correlation Analysis of Column B &amp; C (How many hours do you sleep at night?)</t>
  </si>
  <si>
    <t xml:space="preserve"> Correlation Analysis of Column C &amp; D (How many hours do spend studying per week?)</t>
  </si>
  <si>
    <t xml:space="preserve"> Correlation Analysis of Column D &amp; E (How many breaks do you take during a study session?)</t>
  </si>
  <si>
    <t xml:space="preserve"> Correlation Analysis of Column E &amp; F (How many classes you attend per day?)</t>
  </si>
  <si>
    <t xml:space="preserve"> Correlation Analysis of Column F &amp; G (How many hours per day do you use digital screen academic purpose?)</t>
  </si>
  <si>
    <t xml:space="preserve"> Correlation Analysis of Column G &amp; H (How many assignments did you submit late this semester due to stress?)</t>
  </si>
  <si>
    <t xml:space="preserve"> Correlation Analysis of Column H &amp; I (How many days do you feel overwhelmed due to academic workload?)</t>
  </si>
  <si>
    <t xml:space="preserve"> Correlation Analysis of Column J &amp; A (How many rest days do you give yourself per month?)</t>
  </si>
  <si>
    <t>Count of 3. How severe are your physical stress symptoms (e.g., headaches)?</t>
  </si>
  <si>
    <t xml:space="preserve">Stress Levels </t>
  </si>
  <si>
    <t xml:space="preserve">Emotionally Drainage </t>
  </si>
  <si>
    <t>Bar Chart (How would you rate your academic stress level? )</t>
  </si>
  <si>
    <t>Bar Chart (How often do you feel emotionally drained by academic work?  )</t>
  </si>
  <si>
    <t>Bar Chart (How severe are your physical stress symptoms (e.g., headaches)? )</t>
  </si>
  <si>
    <t>Bar Chart (How do you feel after submitting major assignments? )</t>
  </si>
  <si>
    <t>Bar Chart (How well do you manage academic pressure? )</t>
  </si>
  <si>
    <t>Bar Chart (How would you rate your time management skills? )</t>
  </si>
  <si>
    <t>Bar Chart (How often do you practice self-care during semesters? )</t>
  </si>
  <si>
    <t>Bar Chart (How often do you feel supported by peers during stress? )</t>
  </si>
  <si>
    <t>Bar Chart (How important is mental health at your university? )</t>
  </si>
  <si>
    <t xml:space="preserve">CROSS TABULATION </t>
  </si>
  <si>
    <t>POISSON PROBABILITY DISTRIBUTION</t>
  </si>
  <si>
    <t>Poisson Probability Distribution (How old are you in years?)</t>
  </si>
  <si>
    <t>Poisson Probability Distribution (How many hours do you sleep at night?)</t>
  </si>
  <si>
    <t>Poisson Probability Distribution (How many hours do spend studying per week?)</t>
  </si>
  <si>
    <t>Poisson Probability Distribution (How many breaks do you take during a study session?)</t>
  </si>
  <si>
    <t>Poisson Probability Distribution (How many classes you attend per day?)</t>
  </si>
  <si>
    <t>Poisson Probability Distribution (How many hours per day do you use digital screen academic purpose?)</t>
  </si>
  <si>
    <t>Poisson Probability Distribution (How many assignments did you submit late this semester due to stress?)</t>
  </si>
  <si>
    <t>Poisson Probability Distribution (How many days do you feel overwhelmed due to academic workload?)</t>
  </si>
  <si>
    <t>Poisson Probability Distribution (How many mental health counselling sessions have you attended this semester?)</t>
  </si>
  <si>
    <t>Poisson Probability Distribution (How many rest days do you give yourself per month?)</t>
  </si>
  <si>
    <t>Correlation Analysis of Column I &amp; J (How many mental health counselling sessions have you attended this semester?)</t>
  </si>
  <si>
    <t>Poisson Probability Distribution (Rate each statement based on your own experiences. [I feel stress during finals week.])</t>
  </si>
  <si>
    <t>Poisson Probability Distribution (Rate each statement based on your own experiences. [I often feel anxious.])</t>
  </si>
  <si>
    <t>Poisson Probability Distribution (Rate each statement based on your own experiences. [I frequently experience burnout.])</t>
  </si>
  <si>
    <t>Poisson Probability Distribution  (Rate each statement based on your own experiences. [I feel pressured to maintain academic performance.])</t>
  </si>
  <si>
    <t>Poisson Probability Distribution (Rate each statement based on your own experiences. [I am confident in managing my stress.])</t>
  </si>
  <si>
    <t>Poisson Probability Distribution  (Rate each statement based on your own experiences. [I feel good about my emotional well-being.])</t>
  </si>
  <si>
    <t>Poisson Probability Distribution (Rate each statement based on your own experiences. [I have high energy levels during the semester.])</t>
  </si>
  <si>
    <t>Poisson Probability Distribution  (Rate each statement based on your own experiences. [I can concentrate well on my tasks.])</t>
  </si>
  <si>
    <t>Poisson Probability Distribution  (Rate each statement based on your own experiences. [I sleep well during exam periods.])</t>
  </si>
  <si>
    <t>Poisson Probability Distribution  (Rate each statement based on your own experiences. [I am satisfied with the mental health support available.])</t>
  </si>
  <si>
    <t>Count of 3. What is your gender?</t>
  </si>
  <si>
    <t>Major</t>
  </si>
  <si>
    <t xml:space="preserve">Year </t>
  </si>
  <si>
    <t xml:space="preserve">PROBLEM STATEMENT </t>
  </si>
  <si>
    <t>Is there a relationship between the number of hours students sleep and the number of days they feel overwhelmed due to academic workload?</t>
  </si>
  <si>
    <t xml:space="preserve">Correlation Analysis of Sleep Quality (Column A) and Academic Workload (Column B) </t>
  </si>
  <si>
    <t>Replace the cell ranges with actual values. This gives the Pearson correlation coefficient (value between -1 and 1).</t>
  </si>
  <si>
    <t>Scatter Plot of Column A and Column B</t>
  </si>
  <si>
    <t>Blue Line shows Column A, where Red Line shows Column B.</t>
  </si>
  <si>
    <t xml:space="preserve">Shows Relationship between Column A and Column B 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</si>
  <si>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</si>
  <si>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</si>
  <si>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</si>
  <si>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</si>
  <si>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</si>
  <si>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</si>
  <si>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</si>
  <si>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</si>
  <si>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</si>
  <si>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</si>
  <si>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</si>
  <si>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</si>
  <si>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</si>
  <si>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</si>
  <si>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</si>
  <si>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</si>
  <si>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</si>
  <si>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</si>
  <si>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</si>
  <si>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</si>
  <si>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</si>
  <si>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</si>
  <si>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</si>
  <si>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</si>
  <si>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</si>
  <si>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Regression Analysis of Column A (Sleep Quality) and Column B (Academic Workload)</t>
  </si>
  <si>
    <t xml:space="preserve"> On average, how many hours do you sleep at night?</t>
  </si>
  <si>
    <t>How many days per week do you feel overwhelmed due to your academic workload?</t>
  </si>
  <si>
    <t>Median of Column A and Column B</t>
  </si>
  <si>
    <t xml:space="preserve">Mode of Column A and Column B </t>
  </si>
  <si>
    <t xml:space="preserve">Mean of Column A and Column B </t>
  </si>
  <si>
    <t xml:space="preserve">Range of Column A and Column B </t>
  </si>
  <si>
    <t>Histogram of Column A and Column B</t>
  </si>
  <si>
    <t>Pie Chart of Column A and Column B</t>
  </si>
  <si>
    <t>Bar Chart of Column A and Column B</t>
  </si>
  <si>
    <t>Box Plot of Column A and Column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</si>
</sst>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7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20"/>
      <color theme="1"/>
      <name val="Arial"/>
      <family val="2"/>
      <scheme val="minor"/>
    </font>
    <font>
      <b/>
      <sz val="2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FA7D00"/>
      <name val="Arial"/>
      <family val="2"/>
      <scheme val="minor"/>
    </font>
    <font>
      <i/>
      <sz val="10"/>
      <color rgb="FF000000"/>
      <name val="Arial"/>
      <family val="2"/>
      <scheme val="minor"/>
    </font>
    <font>
      <b/>
      <sz val="18"/>
      <color rgb="FFFA7D00"/>
      <name val="Arial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7" tint="0.59999389629810485"/>
        <bgColor indexed="65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5"/>
      </patternFill>
    </fill>
    <fill>
      <patternFill patternType="solid">
        <fgColor theme="4" tint="0.59999389629810485"/>
        <bgColor rgb="FF5B3F8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8" tint="0.79998168889431442"/>
        <bgColor indexed="65"/>
      </patternFill>
    </fill>
  </fills>
  <borders count="31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/>
      <diagonal/>
    </border>
    <border>
      <left style="thin">
        <color rgb="FFF8F9FA"/>
      </left>
      <right style="thin">
        <color rgb="FF442F65"/>
      </right>
      <top style="thin">
        <color rgb="FFF8F9FA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indexed="65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8" fillId="2" borderId="0" applyNumberFormat="0" applyBorder="0" applyAlignment="0" applyProtection="0"/>
    <xf numFmtId="0" fontId="10" fillId="5" borderId="0" applyNumberFormat="0" applyBorder="0" applyAlignment="0" applyProtection="0"/>
    <xf numFmtId="0" fontId="3" fillId="2" borderId="0" applyNumberFormat="0" applyBorder="0" applyAlignment="0" applyProtection="0"/>
    <xf numFmtId="0" fontId="22" fillId="25" borderId="0" applyNumberFormat="0" applyBorder="0" applyAlignment="0" applyProtection="0"/>
    <xf numFmtId="0" fontId="17" fillId="15" borderId="0" applyNumberFormat="0" applyBorder="0" applyAlignment="0" applyProtection="0"/>
    <xf numFmtId="0" fontId="24" fillId="26" borderId="27" applyNumberFormat="0" applyAlignment="0" applyProtection="0"/>
    <xf numFmtId="0" fontId="21" fillId="27" borderId="28" applyNumberFormat="0" applyFont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</cellStyleXfs>
  <cellXfs count="95">
    <xf numFmtId="0" fontId="0" fillId="0" borderId="0" xfId="0"/>
    <xf numFmtId="164" fontId="9" fillId="0" borderId="4" xfId="0" applyNumberFormat="1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164" fontId="9" fillId="0" borderId="7" xfId="0" applyNumberFormat="1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9" fillId="3" borderId="5" xfId="0" applyFont="1" applyFill="1" applyBorder="1" applyAlignment="1">
      <alignment vertical="center"/>
    </xf>
    <xf numFmtId="0" fontId="9" fillId="4" borderId="8" xfId="0" applyFont="1" applyFill="1" applyBorder="1" applyAlignment="1">
      <alignment vertical="center"/>
    </xf>
    <xf numFmtId="0" fontId="8" fillId="2" borderId="0" xfId="1" applyAlignment="1"/>
    <xf numFmtId="0" fontId="10" fillId="5" borderId="0" xfId="2" applyBorder="1" applyAlignment="1">
      <alignment vertical="center"/>
    </xf>
    <xf numFmtId="0" fontId="11" fillId="6" borderId="2" xfId="0" applyFont="1" applyFill="1" applyBorder="1" applyAlignment="1">
      <alignment horizontal="left" vertical="center"/>
    </xf>
    <xf numFmtId="0" fontId="12" fillId="7" borderId="0" xfId="0" applyFont="1" applyFill="1"/>
    <xf numFmtId="0" fontId="7" fillId="2" borderId="0" xfId="1" applyFont="1" applyAlignment="1"/>
    <xf numFmtId="0" fontId="13" fillId="0" borderId="0" xfId="0" applyFont="1"/>
    <xf numFmtId="0" fontId="6" fillId="2" borderId="0" xfId="1" applyFont="1" applyAlignment="1"/>
    <xf numFmtId="0" fontId="9" fillId="7" borderId="2" xfId="0" applyFont="1" applyFill="1" applyBorder="1" applyAlignment="1">
      <alignment horizontal="left" vertical="center"/>
    </xf>
    <xf numFmtId="0" fontId="9" fillId="8" borderId="2" xfId="0" applyFont="1" applyFill="1" applyBorder="1" applyAlignment="1">
      <alignment horizontal="left" vertical="center"/>
    </xf>
    <xf numFmtId="0" fontId="9" fillId="9" borderId="2" xfId="0" applyFont="1" applyFill="1" applyBorder="1" applyAlignment="1">
      <alignment horizontal="left" vertical="center"/>
    </xf>
    <xf numFmtId="0" fontId="9" fillId="10" borderId="2" xfId="0" applyFont="1" applyFill="1" applyBorder="1" applyAlignment="1">
      <alignment horizontal="left" vertical="center"/>
    </xf>
    <xf numFmtId="0" fontId="9" fillId="10" borderId="3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left" vertical="center"/>
    </xf>
    <xf numFmtId="0" fontId="0" fillId="12" borderId="0" xfId="0" applyFill="1"/>
    <xf numFmtId="0" fontId="10" fillId="13" borderId="0" xfId="2" applyFill="1" applyBorder="1" applyAlignment="1">
      <alignment vertical="center"/>
    </xf>
    <xf numFmtId="0" fontId="14" fillId="13" borderId="0" xfId="2" applyFont="1" applyFill="1" applyBorder="1" applyAlignment="1">
      <alignment vertical="center"/>
    </xf>
    <xf numFmtId="0" fontId="15" fillId="0" borderId="0" xfId="0" applyFont="1"/>
    <xf numFmtId="0" fontId="12" fillId="0" borderId="0" xfId="0" applyFont="1"/>
    <xf numFmtId="0" fontId="0" fillId="13" borderId="0" xfId="0" applyFill="1"/>
    <xf numFmtId="0" fontId="16" fillId="8" borderId="2" xfId="0" applyFont="1" applyFill="1" applyBorder="1" applyAlignment="1">
      <alignment horizontal="left" vertical="center"/>
    </xf>
    <xf numFmtId="0" fontId="16" fillId="3" borderId="5" xfId="0" applyFont="1" applyFill="1" applyBorder="1" applyAlignment="1">
      <alignment vertical="center"/>
    </xf>
    <xf numFmtId="0" fontId="13" fillId="4" borderId="8" xfId="0" applyFont="1" applyFill="1" applyBorder="1" applyAlignment="1">
      <alignment vertical="center"/>
    </xf>
    <xf numFmtId="0" fontId="16" fillId="9" borderId="2" xfId="0" applyFont="1" applyFill="1" applyBorder="1" applyAlignment="1">
      <alignment horizontal="left" vertical="center"/>
    </xf>
    <xf numFmtId="0" fontId="16" fillId="4" borderId="8" xfId="0" applyFont="1" applyFill="1" applyBorder="1" applyAlignment="1">
      <alignment vertical="center"/>
    </xf>
    <xf numFmtId="0" fontId="0" fillId="14" borderId="0" xfId="0" applyFill="1"/>
    <xf numFmtId="0" fontId="16" fillId="10" borderId="2" xfId="0" applyFont="1" applyFill="1" applyBorder="1" applyAlignment="1">
      <alignment horizontal="left" vertical="center"/>
    </xf>
    <xf numFmtId="0" fontId="16" fillId="10" borderId="3" xfId="0" applyFont="1" applyFill="1" applyBorder="1" applyAlignment="1">
      <alignment horizontal="left" vertical="center"/>
    </xf>
    <xf numFmtId="0" fontId="16" fillId="3" borderId="6" xfId="0" applyFont="1" applyFill="1" applyBorder="1" applyAlignment="1">
      <alignment vertical="center"/>
    </xf>
    <xf numFmtId="0" fontId="16" fillId="4" borderId="9" xfId="0" applyFont="1" applyFill="1" applyBorder="1" applyAlignment="1">
      <alignment vertical="center"/>
    </xf>
    <xf numFmtId="0" fontId="5" fillId="2" borderId="0" xfId="1" applyFont="1"/>
    <xf numFmtId="0" fontId="4" fillId="2" borderId="0" xfId="1" applyFont="1"/>
    <xf numFmtId="0" fontId="9" fillId="4" borderId="13" xfId="0" applyFont="1" applyFill="1" applyBorder="1" applyAlignment="1">
      <alignment vertical="center"/>
    </xf>
    <xf numFmtId="0" fontId="9" fillId="4" borderId="14" xfId="0" applyFont="1" applyFill="1" applyBorder="1" applyAlignment="1">
      <alignment vertical="center"/>
    </xf>
    <xf numFmtId="0" fontId="8" fillId="2" borderId="0" xfId="1"/>
    <xf numFmtId="0" fontId="4" fillId="2" borderId="0" xfId="1" applyFont="1" applyAlignment="1"/>
    <xf numFmtId="164" fontId="9" fillId="0" borderId="15" xfId="0" applyNumberFormat="1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3" fillId="2" borderId="0" xfId="3" applyAlignment="1"/>
    <xf numFmtId="0" fontId="2" fillId="2" borderId="0" xfId="3" applyFont="1" applyAlignment="1"/>
    <xf numFmtId="0" fontId="0" fillId="0" borderId="20" xfId="0" applyBorder="1"/>
    <xf numFmtId="0" fontId="0" fillId="0" borderId="21" xfId="0" applyBorder="1"/>
    <xf numFmtId="0" fontId="0" fillId="0" borderId="19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19" xfId="0" applyBorder="1"/>
    <xf numFmtId="0" fontId="0" fillId="0" borderId="25" xfId="0" applyBorder="1"/>
    <xf numFmtId="0" fontId="0" fillId="0" borderId="10" xfId="0" applyBorder="1"/>
    <xf numFmtId="0" fontId="0" fillId="0" borderId="22" xfId="0" applyBorder="1"/>
    <xf numFmtId="0" fontId="0" fillId="0" borderId="26" xfId="0" applyBorder="1"/>
    <xf numFmtId="0" fontId="0" fillId="0" borderId="11" xfId="0" applyBorder="1"/>
    <xf numFmtId="0" fontId="0" fillId="0" borderId="23" xfId="0" applyBorder="1"/>
    <xf numFmtId="0" fontId="0" fillId="0" borderId="24" xfId="0" applyBorder="1"/>
    <xf numFmtId="0" fontId="0" fillId="0" borderId="12" xfId="0" applyBorder="1"/>
    <xf numFmtId="0" fontId="17" fillId="15" borderId="19" xfId="0" applyFont="1" applyFill="1" applyBorder="1"/>
    <xf numFmtId="0" fontId="20" fillId="0" borderId="19" xfId="0" pivotButton="1" applyFont="1" applyBorder="1"/>
    <xf numFmtId="0" fontId="18" fillId="16" borderId="19" xfId="0" applyFont="1" applyFill="1" applyBorder="1"/>
    <xf numFmtId="0" fontId="2" fillId="21" borderId="19" xfId="0" applyFont="1" applyFill="1" applyBorder="1"/>
    <xf numFmtId="0" fontId="2" fillId="20" borderId="25" xfId="0" applyFont="1" applyFill="1" applyBorder="1"/>
    <xf numFmtId="0" fontId="2" fillId="2" borderId="25" xfId="0" applyFont="1" applyFill="1" applyBorder="1"/>
    <xf numFmtId="0" fontId="2" fillId="23" borderId="25" xfId="0" applyFont="1" applyFill="1" applyBorder="1"/>
    <xf numFmtId="0" fontId="19" fillId="17" borderId="18" xfId="0" applyFont="1" applyFill="1" applyBorder="1"/>
    <xf numFmtId="0" fontId="10" fillId="5" borderId="0" xfId="2"/>
    <xf numFmtId="0" fontId="2" fillId="2" borderId="0" xfId="1" applyFont="1" applyAlignment="1"/>
    <xf numFmtId="0" fontId="2" fillId="2" borderId="0" xfId="1" applyFont="1"/>
    <xf numFmtId="0" fontId="2" fillId="18" borderId="19" xfId="0" applyFont="1" applyFill="1" applyBorder="1"/>
    <xf numFmtId="0" fontId="2" fillId="24" borderId="25" xfId="0" applyFont="1" applyFill="1" applyBorder="1"/>
    <xf numFmtId="0" fontId="2" fillId="22" borderId="25" xfId="0" applyFont="1" applyFill="1" applyBorder="1"/>
    <xf numFmtId="0" fontId="2" fillId="19" borderId="25" xfId="0" applyFont="1" applyFill="1" applyBorder="1"/>
    <xf numFmtId="0" fontId="19" fillId="17" borderId="18" xfId="0" applyFont="1" applyFill="1" applyBorder="1" applyAlignment="1">
      <alignment horizontal="left"/>
    </xf>
    <xf numFmtId="0" fontId="9" fillId="4" borderId="16" xfId="0" applyFont="1" applyFill="1" applyBorder="1" applyAlignment="1">
      <alignment vertical="center"/>
    </xf>
    <xf numFmtId="0" fontId="25" fillId="0" borderId="0" xfId="0" applyFont="1"/>
    <xf numFmtId="0" fontId="26" fillId="26" borderId="27" xfId="6" applyFont="1"/>
    <xf numFmtId="0" fontId="0" fillId="0" borderId="29" xfId="0" applyBorder="1"/>
    <xf numFmtId="0" fontId="25" fillId="0" borderId="30" xfId="0" applyFont="1" applyBorder="1" applyAlignment="1">
      <alignment horizontal="center"/>
    </xf>
    <xf numFmtId="0" fontId="25" fillId="0" borderId="30" xfId="0" applyFont="1" applyBorder="1" applyAlignment="1">
      <alignment horizontal="centerContinuous"/>
    </xf>
    <xf numFmtId="0" fontId="16" fillId="7" borderId="2" xfId="0" applyFont="1" applyFill="1" applyBorder="1" applyAlignment="1">
      <alignment horizontal="left" vertical="center"/>
    </xf>
    <xf numFmtId="0" fontId="23" fillId="27" borderId="28" xfId="7" applyFont="1"/>
    <xf numFmtId="0" fontId="0" fillId="27" borderId="28" xfId="7" applyFont="1"/>
    <xf numFmtId="0" fontId="17" fillId="15" borderId="0" xfId="5"/>
    <xf numFmtId="0" fontId="22" fillId="25" borderId="30" xfId="4" applyBorder="1" applyAlignment="1">
      <alignment horizontal="centerContinuous"/>
    </xf>
    <xf numFmtId="0" fontId="1" fillId="18" borderId="0" xfId="8" applyBorder="1" applyAlignment="1"/>
    <xf numFmtId="0" fontId="1" fillId="19" borderId="0" xfId="9" applyBorder="1" applyAlignment="1"/>
    <xf numFmtId="0" fontId="1" fillId="22" borderId="0" xfId="10" applyBorder="1" applyAlignment="1"/>
    <xf numFmtId="0" fontId="1" fillId="24" borderId="0" xfId="11" applyBorder="1" applyAlignment="1"/>
    <xf numFmtId="0" fontId="1" fillId="28" borderId="29" xfId="12" applyBorder="1" applyAlignment="1"/>
    <xf numFmtId="0" fontId="0" fillId="27" borderId="28" xfId="7" applyFont="1" applyAlignment="1"/>
  </cellXfs>
  <cellStyles count="13">
    <cellStyle name="20% - Accent1" xfId="8" builtinId="30"/>
    <cellStyle name="20% - Accent2" xfId="9" builtinId="34"/>
    <cellStyle name="20% - Accent3" xfId="10" builtinId="38"/>
    <cellStyle name="20% - Accent4" xfId="11" builtinId="42"/>
    <cellStyle name="20% - Accent5" xfId="12" builtinId="46"/>
    <cellStyle name="40% - Accent4" xfId="1" builtinId="43"/>
    <cellStyle name="40% - Accent4 2" xfId="3" xr:uid="{138BFE39-C09D-4C98-AC4D-5A163460E3BD}"/>
    <cellStyle name="Accent2" xfId="2" builtinId="33"/>
    <cellStyle name="Bad" xfId="5" builtinId="27"/>
    <cellStyle name="Calculation" xfId="6" builtinId="22"/>
    <cellStyle name="Good" xfId="4" builtinId="26"/>
    <cellStyle name="Normal" xfId="0" builtinId="0"/>
    <cellStyle name="Note" xfId="7" builtinId="10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indexed="65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indexed="65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indexed="65"/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indexed="65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Arial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indexed="65"/>
          <bgColor theme="6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indexed="65"/>
          <bgColor theme="7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indexed="65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indexed="65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Arial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minor"/>
      </font>
      <fill>
        <patternFill patternType="solid">
          <fgColor indexed="65"/>
          <bgColor rgb="FFFFC7CE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0"/>
      <tableStyleElement type="firstRowStripe" dxfId="19"/>
      <tableStyleElement type="secondRowStripe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Ex2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Ex2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Ex2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Ex2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Ex2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Ex2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Ex2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Ex2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Ex2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Ex3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Ex3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Ex3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Ex3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Ex3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Ex3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Ex3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Ex3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Ex3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Ex3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Ex4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Ex41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Ex42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yVal>
            <c:numRef>
              <c:f>'First Part Questions (1-10) '!$A$2:$A$51</c:f>
              <c:numCache>
                <c:formatCode>General</c:formatCode>
                <c:ptCount val="50"/>
                <c:pt idx="0">
                  <c:v>22</c:v>
                </c:pt>
                <c:pt idx="1">
                  <c:v>21</c:v>
                </c:pt>
                <c:pt idx="2">
                  <c:v>19</c:v>
                </c:pt>
                <c:pt idx="3">
                  <c:v>20</c:v>
                </c:pt>
                <c:pt idx="4">
                  <c:v>22</c:v>
                </c:pt>
                <c:pt idx="5">
                  <c:v>21</c:v>
                </c:pt>
                <c:pt idx="6">
                  <c:v>21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  <c:pt idx="12">
                  <c:v>22</c:v>
                </c:pt>
                <c:pt idx="13">
                  <c:v>22</c:v>
                </c:pt>
                <c:pt idx="14">
                  <c:v>19</c:v>
                </c:pt>
                <c:pt idx="15">
                  <c:v>19</c:v>
                </c:pt>
                <c:pt idx="16">
                  <c:v>19</c:v>
                </c:pt>
                <c:pt idx="17">
                  <c:v>21</c:v>
                </c:pt>
                <c:pt idx="18">
                  <c:v>22</c:v>
                </c:pt>
                <c:pt idx="19">
                  <c:v>19</c:v>
                </c:pt>
                <c:pt idx="20">
                  <c:v>19</c:v>
                </c:pt>
                <c:pt idx="21">
                  <c:v>19</c:v>
                </c:pt>
                <c:pt idx="22">
                  <c:v>19</c:v>
                </c:pt>
                <c:pt idx="23">
                  <c:v>22</c:v>
                </c:pt>
                <c:pt idx="24">
                  <c:v>19</c:v>
                </c:pt>
                <c:pt idx="25">
                  <c:v>20</c:v>
                </c:pt>
                <c:pt idx="26">
                  <c:v>22</c:v>
                </c:pt>
                <c:pt idx="27">
                  <c:v>19</c:v>
                </c:pt>
                <c:pt idx="28">
                  <c:v>20</c:v>
                </c:pt>
                <c:pt idx="29">
                  <c:v>19</c:v>
                </c:pt>
                <c:pt idx="30">
                  <c:v>19</c:v>
                </c:pt>
                <c:pt idx="31">
                  <c:v>19</c:v>
                </c:pt>
                <c:pt idx="32">
                  <c:v>21</c:v>
                </c:pt>
                <c:pt idx="33">
                  <c:v>19</c:v>
                </c:pt>
                <c:pt idx="34">
                  <c:v>19</c:v>
                </c:pt>
                <c:pt idx="35">
                  <c:v>22</c:v>
                </c:pt>
                <c:pt idx="36">
                  <c:v>21</c:v>
                </c:pt>
                <c:pt idx="37">
                  <c:v>21</c:v>
                </c:pt>
                <c:pt idx="38">
                  <c:v>22</c:v>
                </c:pt>
                <c:pt idx="39">
                  <c:v>21</c:v>
                </c:pt>
                <c:pt idx="40">
                  <c:v>19</c:v>
                </c:pt>
                <c:pt idx="41">
                  <c:v>22</c:v>
                </c:pt>
                <c:pt idx="42">
                  <c:v>19</c:v>
                </c:pt>
                <c:pt idx="43">
                  <c:v>22</c:v>
                </c:pt>
                <c:pt idx="44">
                  <c:v>22</c:v>
                </c:pt>
                <c:pt idx="45">
                  <c:v>19</c:v>
                </c:pt>
                <c:pt idx="46">
                  <c:v>22</c:v>
                </c:pt>
                <c:pt idx="47">
                  <c:v>19</c:v>
                </c:pt>
                <c:pt idx="48">
                  <c:v>20</c:v>
                </c:pt>
                <c:pt idx="49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4B-4CCE-9D17-C390D5E6E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1022512"/>
        <c:axId val="891027912"/>
      </c:scatterChart>
      <c:valAx>
        <c:axId val="891022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891027912"/>
        <c:crosses val="autoZero"/>
        <c:crossBetween val="midCat"/>
      </c:valAx>
      <c:valAx>
        <c:axId val="891027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891022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Sleep</a:t>
            </a:r>
            <a:r>
              <a:rPr lang="en-US" baseline="0"/>
              <a:t> Hours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yVal>
            <c:numRef>
              <c:f>'First Part Questions (1-10) '!$B$2:$B$51</c:f>
              <c:numCache>
                <c:formatCode>General</c:formatCode>
                <c:ptCount val="50"/>
                <c:pt idx="0">
                  <c:v>8</c:v>
                </c:pt>
                <c:pt idx="1">
                  <c:v>8</c:v>
                </c:pt>
                <c:pt idx="2">
                  <c:v>4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8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8</c:v>
                </c:pt>
                <c:pt idx="13">
                  <c:v>8</c:v>
                </c:pt>
                <c:pt idx="14">
                  <c:v>10</c:v>
                </c:pt>
                <c:pt idx="15">
                  <c:v>4</c:v>
                </c:pt>
                <c:pt idx="16">
                  <c:v>8</c:v>
                </c:pt>
                <c:pt idx="17">
                  <c:v>4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6</c:v>
                </c:pt>
                <c:pt idx="22">
                  <c:v>4</c:v>
                </c:pt>
                <c:pt idx="23">
                  <c:v>6</c:v>
                </c:pt>
                <c:pt idx="24">
                  <c:v>6</c:v>
                </c:pt>
                <c:pt idx="25">
                  <c:v>8</c:v>
                </c:pt>
                <c:pt idx="26">
                  <c:v>6</c:v>
                </c:pt>
                <c:pt idx="27">
                  <c:v>6</c:v>
                </c:pt>
                <c:pt idx="28">
                  <c:v>8</c:v>
                </c:pt>
                <c:pt idx="29">
                  <c:v>6</c:v>
                </c:pt>
                <c:pt idx="30">
                  <c:v>6</c:v>
                </c:pt>
                <c:pt idx="31">
                  <c:v>10</c:v>
                </c:pt>
                <c:pt idx="32">
                  <c:v>6</c:v>
                </c:pt>
                <c:pt idx="33">
                  <c:v>10</c:v>
                </c:pt>
                <c:pt idx="34">
                  <c:v>8</c:v>
                </c:pt>
                <c:pt idx="35">
                  <c:v>6</c:v>
                </c:pt>
                <c:pt idx="36">
                  <c:v>4</c:v>
                </c:pt>
                <c:pt idx="37">
                  <c:v>6</c:v>
                </c:pt>
                <c:pt idx="38">
                  <c:v>8</c:v>
                </c:pt>
                <c:pt idx="39">
                  <c:v>4</c:v>
                </c:pt>
                <c:pt idx="40">
                  <c:v>8</c:v>
                </c:pt>
                <c:pt idx="41">
                  <c:v>6</c:v>
                </c:pt>
                <c:pt idx="42">
                  <c:v>4</c:v>
                </c:pt>
                <c:pt idx="43">
                  <c:v>4</c:v>
                </c:pt>
                <c:pt idx="44">
                  <c:v>6</c:v>
                </c:pt>
                <c:pt idx="45">
                  <c:v>8</c:v>
                </c:pt>
                <c:pt idx="46">
                  <c:v>4</c:v>
                </c:pt>
                <c:pt idx="47">
                  <c:v>6</c:v>
                </c:pt>
                <c:pt idx="48">
                  <c:v>8</c:v>
                </c:pt>
                <c:pt idx="4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39-41E3-BFED-1D5358056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1013512"/>
        <c:axId val="891014952"/>
      </c:scatterChart>
      <c:valAx>
        <c:axId val="891013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891014952"/>
        <c:crosses val="autoZero"/>
        <c:crossBetween val="midCat"/>
      </c:valAx>
      <c:valAx>
        <c:axId val="891014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891013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Study</a:t>
            </a:r>
            <a:r>
              <a:rPr lang="en-US" baseline="0"/>
              <a:t> Hours Per Week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yVal>
            <c:numRef>
              <c:f>'First Part Questions (1-10) '!$C$2:$C$51</c:f>
              <c:numCache>
                <c:formatCode>General</c:formatCode>
                <c:ptCount val="5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10</c:v>
                </c:pt>
                <c:pt idx="5">
                  <c:v>10</c:v>
                </c:pt>
                <c:pt idx="6">
                  <c:v>15</c:v>
                </c:pt>
                <c:pt idx="7">
                  <c:v>15</c:v>
                </c:pt>
                <c:pt idx="8">
                  <c:v>20</c:v>
                </c:pt>
                <c:pt idx="9">
                  <c:v>20</c:v>
                </c:pt>
                <c:pt idx="10">
                  <c:v>10</c:v>
                </c:pt>
                <c:pt idx="11">
                  <c:v>20</c:v>
                </c:pt>
                <c:pt idx="12">
                  <c:v>5</c:v>
                </c:pt>
                <c:pt idx="13">
                  <c:v>20</c:v>
                </c:pt>
                <c:pt idx="14">
                  <c:v>10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10</c:v>
                </c:pt>
                <c:pt idx="19">
                  <c:v>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20</c:v>
                </c:pt>
                <c:pt idx="24">
                  <c:v>5</c:v>
                </c:pt>
                <c:pt idx="25">
                  <c:v>5</c:v>
                </c:pt>
                <c:pt idx="26">
                  <c:v>10</c:v>
                </c:pt>
                <c:pt idx="27">
                  <c:v>20</c:v>
                </c:pt>
                <c:pt idx="28">
                  <c:v>5</c:v>
                </c:pt>
                <c:pt idx="29">
                  <c:v>10</c:v>
                </c:pt>
                <c:pt idx="30">
                  <c:v>20</c:v>
                </c:pt>
                <c:pt idx="31">
                  <c:v>15</c:v>
                </c:pt>
                <c:pt idx="32">
                  <c:v>20</c:v>
                </c:pt>
                <c:pt idx="33">
                  <c:v>10</c:v>
                </c:pt>
                <c:pt idx="34">
                  <c:v>5</c:v>
                </c:pt>
                <c:pt idx="35">
                  <c:v>5</c:v>
                </c:pt>
                <c:pt idx="36">
                  <c:v>20</c:v>
                </c:pt>
                <c:pt idx="37">
                  <c:v>10</c:v>
                </c:pt>
                <c:pt idx="38">
                  <c:v>20</c:v>
                </c:pt>
                <c:pt idx="39">
                  <c:v>20</c:v>
                </c:pt>
                <c:pt idx="40">
                  <c:v>5</c:v>
                </c:pt>
                <c:pt idx="41">
                  <c:v>15</c:v>
                </c:pt>
                <c:pt idx="42">
                  <c:v>10</c:v>
                </c:pt>
                <c:pt idx="43">
                  <c:v>5</c:v>
                </c:pt>
                <c:pt idx="44">
                  <c:v>15</c:v>
                </c:pt>
                <c:pt idx="45">
                  <c:v>10</c:v>
                </c:pt>
                <c:pt idx="46">
                  <c:v>20</c:v>
                </c:pt>
                <c:pt idx="47">
                  <c:v>10</c:v>
                </c:pt>
                <c:pt idx="48">
                  <c:v>20</c:v>
                </c:pt>
                <c:pt idx="4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A5-4D99-88DE-CA9F2BD46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1022512"/>
        <c:axId val="891018552"/>
      </c:scatterChart>
      <c:valAx>
        <c:axId val="891022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891018552"/>
        <c:crosses val="autoZero"/>
        <c:crossBetween val="midCat"/>
      </c:valAx>
      <c:valAx>
        <c:axId val="891018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891022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Breaks</a:t>
            </a:r>
            <a:r>
              <a:rPr lang="en-US" baseline="0"/>
              <a:t> During a Study Session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yVal>
            <c:numRef>
              <c:f>'First Part Questions (1-10) '!$D$2:$D$51</c:f>
              <c:numCache>
                <c:formatCode>General</c:formatCode>
                <c:ptCount val="50"/>
                <c:pt idx="0">
                  <c:v>3</c:v>
                </c:pt>
                <c:pt idx="1">
                  <c:v>3</c:v>
                </c:pt>
                <c:pt idx="2">
                  <c:v>0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3</c:v>
                </c:pt>
                <c:pt idx="20">
                  <c:v>1</c:v>
                </c:pt>
                <c:pt idx="21">
                  <c:v>3</c:v>
                </c:pt>
                <c:pt idx="22">
                  <c:v>1</c:v>
                </c:pt>
                <c:pt idx="23">
                  <c:v>3</c:v>
                </c:pt>
                <c:pt idx="24">
                  <c:v>3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0</c:v>
                </c:pt>
                <c:pt idx="34">
                  <c:v>3</c:v>
                </c:pt>
                <c:pt idx="35">
                  <c:v>0</c:v>
                </c:pt>
                <c:pt idx="36">
                  <c:v>3</c:v>
                </c:pt>
                <c:pt idx="37">
                  <c:v>1</c:v>
                </c:pt>
                <c:pt idx="38">
                  <c:v>2</c:v>
                </c:pt>
                <c:pt idx="39">
                  <c:v>0</c:v>
                </c:pt>
                <c:pt idx="40">
                  <c:v>1</c:v>
                </c:pt>
                <c:pt idx="41">
                  <c:v>2</c:v>
                </c:pt>
                <c:pt idx="42">
                  <c:v>3</c:v>
                </c:pt>
                <c:pt idx="43">
                  <c:v>2</c:v>
                </c:pt>
                <c:pt idx="44">
                  <c:v>2</c:v>
                </c:pt>
                <c:pt idx="45">
                  <c:v>1</c:v>
                </c:pt>
                <c:pt idx="46">
                  <c:v>3</c:v>
                </c:pt>
                <c:pt idx="47">
                  <c:v>2</c:v>
                </c:pt>
                <c:pt idx="48">
                  <c:v>0</c:v>
                </c:pt>
                <c:pt idx="4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06-43F9-A0FF-5D630D1CC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074536"/>
        <c:axId val="683080296"/>
      </c:scatterChart>
      <c:valAx>
        <c:axId val="683074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683080296"/>
        <c:crosses val="autoZero"/>
        <c:crossBetween val="midCat"/>
      </c:valAx>
      <c:valAx>
        <c:axId val="683080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683074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Classes</a:t>
            </a:r>
            <a:r>
              <a:rPr lang="en-US" baseline="0"/>
              <a:t> Attend Per Week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yVal>
            <c:numRef>
              <c:f>'First Part Questions (1-10) '!$E$2:$E$51</c:f>
              <c:numCache>
                <c:formatCode>General</c:formatCode>
                <c:ptCount val="5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1</c:v>
                </c:pt>
                <c:pt idx="19">
                  <c:v>0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2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0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2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0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2E-4271-A67E-3CB7453B6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1036192"/>
        <c:axId val="891030792"/>
      </c:scatterChart>
      <c:valAx>
        <c:axId val="89103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891030792"/>
        <c:crosses val="autoZero"/>
        <c:crossBetween val="midCat"/>
      </c:valAx>
      <c:valAx>
        <c:axId val="891030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891036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Use of Digital</a:t>
            </a:r>
            <a:r>
              <a:rPr lang="en-US" baseline="0"/>
              <a:t> Screen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yVal>
            <c:numRef>
              <c:f>'First Part Questions (1-10) '!$F$2:$F$51</c:f>
              <c:numCache>
                <c:formatCode>General</c:formatCode>
                <c:ptCount val="50"/>
                <c:pt idx="0">
                  <c:v>2</c:v>
                </c:pt>
                <c:pt idx="1">
                  <c:v>6</c:v>
                </c:pt>
                <c:pt idx="2">
                  <c:v>4</c:v>
                </c:pt>
                <c:pt idx="3">
                  <c:v>2</c:v>
                </c:pt>
                <c:pt idx="4">
                  <c:v>6</c:v>
                </c:pt>
                <c:pt idx="5">
                  <c:v>4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6</c:v>
                </c:pt>
                <c:pt idx="13">
                  <c:v>4</c:v>
                </c:pt>
                <c:pt idx="14">
                  <c:v>2</c:v>
                </c:pt>
                <c:pt idx="15">
                  <c:v>6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6</c:v>
                </c:pt>
                <c:pt idx="20">
                  <c:v>0</c:v>
                </c:pt>
                <c:pt idx="21">
                  <c:v>6</c:v>
                </c:pt>
                <c:pt idx="22">
                  <c:v>2</c:v>
                </c:pt>
                <c:pt idx="23">
                  <c:v>4</c:v>
                </c:pt>
                <c:pt idx="24">
                  <c:v>2</c:v>
                </c:pt>
                <c:pt idx="25">
                  <c:v>2</c:v>
                </c:pt>
                <c:pt idx="26">
                  <c:v>6</c:v>
                </c:pt>
                <c:pt idx="27">
                  <c:v>6</c:v>
                </c:pt>
                <c:pt idx="28">
                  <c:v>2</c:v>
                </c:pt>
                <c:pt idx="29">
                  <c:v>2</c:v>
                </c:pt>
                <c:pt idx="30">
                  <c:v>4</c:v>
                </c:pt>
                <c:pt idx="31">
                  <c:v>2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4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4</c:v>
                </c:pt>
                <c:pt idx="43">
                  <c:v>4</c:v>
                </c:pt>
                <c:pt idx="44">
                  <c:v>6</c:v>
                </c:pt>
                <c:pt idx="45">
                  <c:v>2</c:v>
                </c:pt>
                <c:pt idx="46">
                  <c:v>6</c:v>
                </c:pt>
                <c:pt idx="47">
                  <c:v>2</c:v>
                </c:pt>
                <c:pt idx="48">
                  <c:v>4</c:v>
                </c:pt>
                <c:pt idx="49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B9-41FB-887F-0FD2ADED0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071000"/>
        <c:axId val="924080360"/>
      </c:scatterChart>
      <c:valAx>
        <c:axId val="924071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924080360"/>
        <c:crosses val="autoZero"/>
        <c:crossBetween val="midCat"/>
      </c:valAx>
      <c:valAx>
        <c:axId val="924080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924071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Assignment</a:t>
            </a:r>
            <a:r>
              <a:rPr lang="en-US" baseline="0"/>
              <a:t> Submittions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yVal>
            <c:numRef>
              <c:f>'First Part Questions (1-10) '!$G$2:$G$51</c:f>
              <c:numCache>
                <c:formatCode>General</c:formatCode>
                <c:ptCount val="50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0</c:v>
                </c:pt>
                <c:pt idx="11">
                  <c:v>1</c:v>
                </c:pt>
                <c:pt idx="12">
                  <c:v>3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3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3</c:v>
                </c:pt>
                <c:pt idx="25">
                  <c:v>2</c:v>
                </c:pt>
                <c:pt idx="26">
                  <c:v>3</c:v>
                </c:pt>
                <c:pt idx="27">
                  <c:v>3</c:v>
                </c:pt>
                <c:pt idx="28">
                  <c:v>0</c:v>
                </c:pt>
                <c:pt idx="29">
                  <c:v>1</c:v>
                </c:pt>
                <c:pt idx="30">
                  <c:v>2</c:v>
                </c:pt>
                <c:pt idx="31">
                  <c:v>0</c:v>
                </c:pt>
                <c:pt idx="32">
                  <c:v>3</c:v>
                </c:pt>
                <c:pt idx="33">
                  <c:v>2</c:v>
                </c:pt>
                <c:pt idx="34">
                  <c:v>0</c:v>
                </c:pt>
                <c:pt idx="35">
                  <c:v>0</c:v>
                </c:pt>
                <c:pt idx="36">
                  <c:v>3</c:v>
                </c:pt>
                <c:pt idx="37">
                  <c:v>0</c:v>
                </c:pt>
                <c:pt idx="38">
                  <c:v>1</c:v>
                </c:pt>
                <c:pt idx="39">
                  <c:v>3</c:v>
                </c:pt>
                <c:pt idx="40">
                  <c:v>0</c:v>
                </c:pt>
                <c:pt idx="41">
                  <c:v>3</c:v>
                </c:pt>
                <c:pt idx="42">
                  <c:v>0</c:v>
                </c:pt>
                <c:pt idx="43">
                  <c:v>3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2E-4273-B316-2CF43AE22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079640"/>
        <c:axId val="924069920"/>
      </c:scatterChart>
      <c:valAx>
        <c:axId val="924079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924069920"/>
        <c:crosses val="autoZero"/>
        <c:crossBetween val="midCat"/>
      </c:valAx>
      <c:valAx>
        <c:axId val="92406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924079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Academic</a:t>
            </a:r>
            <a:r>
              <a:rPr lang="en-US" baseline="0"/>
              <a:t> Workload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yVal>
            <c:numRef>
              <c:f>'First Part Questions (1-10) '!$H$2:$H$51</c:f>
              <c:numCache>
                <c:formatCode>General</c:formatCode>
                <c:ptCount val="50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0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0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  <c:pt idx="21">
                  <c:v>2</c:v>
                </c:pt>
                <c:pt idx="22">
                  <c:v>3</c:v>
                </c:pt>
                <c:pt idx="23">
                  <c:v>2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0</c:v>
                </c:pt>
                <c:pt idx="28">
                  <c:v>0</c:v>
                </c:pt>
                <c:pt idx="29">
                  <c:v>2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2</c:v>
                </c:pt>
                <c:pt idx="34">
                  <c:v>2</c:v>
                </c:pt>
                <c:pt idx="35">
                  <c:v>0</c:v>
                </c:pt>
                <c:pt idx="36">
                  <c:v>3</c:v>
                </c:pt>
                <c:pt idx="37">
                  <c:v>3</c:v>
                </c:pt>
                <c:pt idx="38">
                  <c:v>2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2</c:v>
                </c:pt>
                <c:pt idx="43">
                  <c:v>0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ED-40FC-8CB7-081C266A8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1025392"/>
        <c:axId val="891026832"/>
      </c:scatterChart>
      <c:valAx>
        <c:axId val="891025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891026832"/>
        <c:crosses val="autoZero"/>
        <c:crossBetween val="midCat"/>
      </c:valAx>
      <c:valAx>
        <c:axId val="89102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891025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Mental</a:t>
            </a:r>
            <a:r>
              <a:rPr lang="en-US" baseline="0"/>
              <a:t> Health Counselling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yVal>
            <c:numRef>
              <c:f>'First Part Questions (1-10) '!$I$2:$I$51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3</c:v>
                </c:pt>
                <c:pt idx="37">
                  <c:v>0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2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F7-4656-81CD-1C02CEA21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082160"/>
        <c:axId val="924083240"/>
      </c:scatterChart>
      <c:valAx>
        <c:axId val="924082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924083240"/>
        <c:crosses val="autoZero"/>
        <c:crossBetween val="midCat"/>
      </c:valAx>
      <c:valAx>
        <c:axId val="924083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924082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</a:t>
            </a:r>
            <a:r>
              <a:rPr lang="en-US" baseline="0"/>
              <a:t>t Days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yVal>
            <c:numRef>
              <c:f>'First Part Questions (1-10) '!$J$2:$J$51</c:f>
              <c:numCache>
                <c:formatCode>General</c:formatCode>
                <c:ptCount val="50"/>
                <c:pt idx="0">
                  <c:v>6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2</c:v>
                </c:pt>
                <c:pt idx="5">
                  <c:v>2</c:v>
                </c:pt>
                <c:pt idx="6">
                  <c:v>4</c:v>
                </c:pt>
                <c:pt idx="7">
                  <c:v>4</c:v>
                </c:pt>
                <c:pt idx="8">
                  <c:v>6</c:v>
                </c:pt>
                <c:pt idx="9">
                  <c:v>4</c:v>
                </c:pt>
                <c:pt idx="10">
                  <c:v>4</c:v>
                </c:pt>
                <c:pt idx="11">
                  <c:v>2</c:v>
                </c:pt>
                <c:pt idx="12">
                  <c:v>6</c:v>
                </c:pt>
                <c:pt idx="13">
                  <c:v>0</c:v>
                </c:pt>
                <c:pt idx="14">
                  <c:v>4</c:v>
                </c:pt>
                <c:pt idx="15">
                  <c:v>2</c:v>
                </c:pt>
                <c:pt idx="16">
                  <c:v>4</c:v>
                </c:pt>
                <c:pt idx="17">
                  <c:v>4</c:v>
                </c:pt>
                <c:pt idx="18">
                  <c:v>6</c:v>
                </c:pt>
                <c:pt idx="19">
                  <c:v>2</c:v>
                </c:pt>
                <c:pt idx="20">
                  <c:v>4</c:v>
                </c:pt>
                <c:pt idx="21">
                  <c:v>6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6</c:v>
                </c:pt>
                <c:pt idx="26">
                  <c:v>6</c:v>
                </c:pt>
                <c:pt idx="27">
                  <c:v>0</c:v>
                </c:pt>
                <c:pt idx="28">
                  <c:v>6</c:v>
                </c:pt>
                <c:pt idx="29">
                  <c:v>4</c:v>
                </c:pt>
                <c:pt idx="30">
                  <c:v>6</c:v>
                </c:pt>
                <c:pt idx="31">
                  <c:v>6</c:v>
                </c:pt>
                <c:pt idx="32">
                  <c:v>2</c:v>
                </c:pt>
                <c:pt idx="33">
                  <c:v>6</c:v>
                </c:pt>
                <c:pt idx="34">
                  <c:v>6</c:v>
                </c:pt>
                <c:pt idx="35">
                  <c:v>4</c:v>
                </c:pt>
                <c:pt idx="36">
                  <c:v>6</c:v>
                </c:pt>
                <c:pt idx="37">
                  <c:v>0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4</c:v>
                </c:pt>
                <c:pt idx="43">
                  <c:v>2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2</c:v>
                </c:pt>
                <c:pt idx="48">
                  <c:v>6</c:v>
                </c:pt>
                <c:pt idx="49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3B-4FCF-8B66-E80FD9DA8A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065600"/>
        <c:axId val="924067040"/>
      </c:scatterChart>
      <c:valAx>
        <c:axId val="924065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924067040"/>
        <c:crosses val="autoZero"/>
        <c:crossBetween val="midCat"/>
      </c:valAx>
      <c:valAx>
        <c:axId val="92406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924065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1. How would you rate your academic stress level?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Extreme</c:v>
              </c:pt>
              <c:pt idx="1">
                <c:v>High</c:v>
              </c:pt>
              <c:pt idx="2">
                <c:v>Low</c:v>
              </c:pt>
              <c:pt idx="3">
                <c:v>Moderate</c:v>
              </c:pt>
            </c:strLit>
          </c:cat>
          <c:val>
            <c:numLit>
              <c:formatCode>General</c:formatCode>
              <c:ptCount val="4"/>
              <c:pt idx="0">
                <c:v>13</c:v>
              </c:pt>
              <c:pt idx="1">
                <c:v>17</c:v>
              </c:pt>
              <c:pt idx="2">
                <c:v>8</c:v>
              </c:pt>
              <c:pt idx="3">
                <c:v>11</c:v>
              </c:pt>
            </c:numLit>
          </c:val>
          <c:extLst>
            <c:ext xmlns:c16="http://schemas.microsoft.com/office/drawing/2014/chart" uri="{C3380CC4-5D6E-409C-BE32-E72D297353CC}">
              <c16:uniqueId val="{00000000-5450-4E39-9362-192442F01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4543296"/>
        <c:axId val="112659136"/>
      </c:barChart>
      <c:catAx>
        <c:axId val="68454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12659136"/>
        <c:crosses val="autoZero"/>
        <c:auto val="1"/>
        <c:lblAlgn val="ctr"/>
        <c:lblOffset val="100"/>
        <c:noMultiLvlLbl val="0"/>
      </c:catAx>
      <c:valAx>
        <c:axId val="11265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684543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2. How often do you feel emotionally drained by academic work?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Always</c:v>
              </c:pt>
              <c:pt idx="1">
                <c:v>Often</c:v>
              </c:pt>
              <c:pt idx="2">
                <c:v>Rarely</c:v>
              </c:pt>
              <c:pt idx="3">
                <c:v>Sometimes</c:v>
              </c:pt>
            </c:strLit>
          </c:cat>
          <c:val>
            <c:numLit>
              <c:formatCode>General</c:formatCode>
              <c:ptCount val="4"/>
              <c:pt idx="0">
                <c:v>10</c:v>
              </c:pt>
              <c:pt idx="1">
                <c:v>16</c:v>
              </c:pt>
              <c:pt idx="2">
                <c:v>7</c:v>
              </c:pt>
              <c:pt idx="3">
                <c:v>16</c:v>
              </c:pt>
            </c:numLit>
          </c:val>
          <c:extLst>
            <c:ext xmlns:c16="http://schemas.microsoft.com/office/drawing/2014/chart" uri="{C3380CC4-5D6E-409C-BE32-E72D297353CC}">
              <c16:uniqueId val="{00000000-7C74-412D-9D72-78AFC7AC3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7842024"/>
        <c:axId val="727839144"/>
      </c:barChart>
      <c:catAx>
        <c:axId val="727842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727839144"/>
        <c:crosses val="autoZero"/>
        <c:auto val="1"/>
        <c:lblAlgn val="ctr"/>
        <c:lblOffset val="100"/>
        <c:noMultiLvlLbl val="0"/>
      </c:catAx>
      <c:valAx>
        <c:axId val="727839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727842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3. How severe are your physical stress symptoms (e.g., headaches)?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numLit>
          </c:cat>
          <c:val>
            <c:numLit>
              <c:formatCode>General</c:formatCode>
              <c:ptCount val="4"/>
              <c:pt idx="0">
                <c:v>19</c:v>
              </c:pt>
              <c:pt idx="1">
                <c:v>9</c:v>
              </c:pt>
              <c:pt idx="2">
                <c:v>11</c:v>
              </c:pt>
              <c:pt idx="3">
                <c:v>10</c:v>
              </c:pt>
            </c:numLit>
          </c:val>
          <c:extLst>
            <c:ext xmlns:c16="http://schemas.microsoft.com/office/drawing/2014/chart" uri="{C3380CC4-5D6E-409C-BE32-E72D297353CC}">
              <c16:uniqueId val="{00000000-CF6A-4804-BB7A-95DC68ADB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7850664"/>
        <c:axId val="727852104"/>
      </c:barChart>
      <c:catAx>
        <c:axId val="727850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727852104"/>
        <c:crosses val="autoZero"/>
        <c:auto val="1"/>
        <c:lblAlgn val="ctr"/>
        <c:lblOffset val="100"/>
        <c:noMultiLvlLbl val="0"/>
      </c:catAx>
      <c:valAx>
        <c:axId val="727852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727850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4. How often do you procrastinate because of anxiety?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Always</c:v>
              </c:pt>
              <c:pt idx="1">
                <c:v>Never</c:v>
              </c:pt>
              <c:pt idx="2">
                <c:v>Often</c:v>
              </c:pt>
              <c:pt idx="3">
                <c:v>Sometimes</c:v>
              </c:pt>
            </c:strLit>
          </c:cat>
          <c:val>
            <c:numLit>
              <c:formatCode>General</c:formatCode>
              <c:ptCount val="4"/>
              <c:pt idx="0">
                <c:v>8</c:v>
              </c:pt>
              <c:pt idx="1">
                <c:v>5</c:v>
              </c:pt>
              <c:pt idx="2">
                <c:v>18</c:v>
              </c:pt>
              <c:pt idx="3">
                <c:v>18</c:v>
              </c:pt>
            </c:numLit>
          </c:val>
          <c:extLst>
            <c:ext xmlns:c16="http://schemas.microsoft.com/office/drawing/2014/chart" uri="{C3380CC4-5D6E-409C-BE32-E72D297353CC}">
              <c16:uniqueId val="{00000000-00AE-4CBB-A45E-9AF49BED6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7852104"/>
        <c:axId val="727852464"/>
      </c:barChart>
      <c:catAx>
        <c:axId val="727852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727852464"/>
        <c:crosses val="autoZero"/>
        <c:auto val="1"/>
        <c:lblAlgn val="ctr"/>
        <c:lblOffset val="100"/>
        <c:noMultiLvlLbl val="0"/>
      </c:catAx>
      <c:valAx>
        <c:axId val="72785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727852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5. How do you feel after submitting major assignments?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strLit>
          </c:cat>
          <c:val>
            <c:numLit>
              <c:formatCode>General</c:formatCode>
              <c:ptCount val="4"/>
              <c:pt idx="0">
                <c:v>9</c:v>
              </c:pt>
              <c:pt idx="1">
                <c:v>10</c:v>
              </c:pt>
              <c:pt idx="2">
                <c:v>24</c:v>
              </c:pt>
              <c:pt idx="3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0-CCB6-4717-9426-F6AE23F40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4538976"/>
        <c:axId val="684533936"/>
      </c:barChart>
      <c:catAx>
        <c:axId val="684538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684533936"/>
        <c:crosses val="autoZero"/>
        <c:auto val="1"/>
        <c:lblAlgn val="ctr"/>
        <c:lblOffset val="100"/>
        <c:noMultiLvlLbl val="0"/>
      </c:catAx>
      <c:valAx>
        <c:axId val="684533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684538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6. How well do you manage academic pressure?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numLit>
          </c:cat>
          <c:val>
            <c:numLit>
              <c:formatCode>General</c:formatCode>
              <c:ptCount val="4"/>
              <c:pt idx="0">
                <c:v>11</c:v>
              </c:pt>
              <c:pt idx="1">
                <c:v>6</c:v>
              </c:pt>
              <c:pt idx="2">
                <c:v>13</c:v>
              </c:pt>
              <c:pt idx="3">
                <c:v>19</c:v>
              </c:pt>
            </c:numLit>
          </c:val>
          <c:extLst>
            <c:ext xmlns:c16="http://schemas.microsoft.com/office/drawing/2014/chart" uri="{C3380CC4-5D6E-409C-BE32-E72D297353CC}">
              <c16:uniqueId val="{00000000-3274-4654-91DC-D18FF52B5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4534656"/>
        <c:axId val="684535016"/>
      </c:barChart>
      <c:catAx>
        <c:axId val="68453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684535016"/>
        <c:crosses val="autoZero"/>
        <c:auto val="1"/>
        <c:lblAlgn val="ctr"/>
        <c:lblOffset val="100"/>
        <c:noMultiLvlLbl val="0"/>
      </c:catAx>
      <c:valAx>
        <c:axId val="684535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684534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7. How would you rate your time management skills?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numLit>
          </c:cat>
          <c:val>
            <c:numLit>
              <c:formatCode>General</c:formatCode>
              <c:ptCount val="4"/>
              <c:pt idx="0">
                <c:v>8</c:v>
              </c:pt>
              <c:pt idx="1">
                <c:v>23</c:v>
              </c:pt>
              <c:pt idx="2">
                <c:v>11</c:v>
              </c:pt>
              <c:pt idx="3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0-6D1B-4880-BB10-52A714BC7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3079936"/>
        <c:axId val="683073096"/>
      </c:barChart>
      <c:catAx>
        <c:axId val="68307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683073096"/>
        <c:crosses val="autoZero"/>
        <c:auto val="1"/>
        <c:lblAlgn val="ctr"/>
        <c:lblOffset val="100"/>
        <c:noMultiLvlLbl val="0"/>
      </c:catAx>
      <c:valAx>
        <c:axId val="683073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683079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8. How often do you practice self-care during semesters?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numLit>
          </c:cat>
          <c:val>
            <c:numLit>
              <c:formatCode>General</c:formatCode>
              <c:ptCount val="4"/>
              <c:pt idx="0">
                <c:v>13</c:v>
              </c:pt>
              <c:pt idx="1">
                <c:v>8</c:v>
              </c:pt>
              <c:pt idx="2">
                <c:v>17</c:v>
              </c:pt>
              <c:pt idx="3">
                <c:v>11</c:v>
              </c:pt>
            </c:numLit>
          </c:val>
          <c:extLst>
            <c:ext xmlns:c16="http://schemas.microsoft.com/office/drawing/2014/chart" uri="{C3380CC4-5D6E-409C-BE32-E72D297353CC}">
              <c16:uniqueId val="{00000000-8D12-4FFF-8451-1A37269E5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3079216"/>
        <c:axId val="683074176"/>
      </c:barChart>
      <c:catAx>
        <c:axId val="68307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683074176"/>
        <c:crosses val="autoZero"/>
        <c:auto val="1"/>
        <c:lblAlgn val="ctr"/>
        <c:lblOffset val="100"/>
        <c:noMultiLvlLbl val="0"/>
      </c:catAx>
      <c:valAx>
        <c:axId val="68307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683079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9. How often do you feel supported by peers during stress?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numLit>
          </c:cat>
          <c:val>
            <c:numLit>
              <c:formatCode>General</c:formatCode>
              <c:ptCount val="4"/>
              <c:pt idx="0">
                <c:v>12</c:v>
              </c:pt>
              <c:pt idx="1">
                <c:v>7</c:v>
              </c:pt>
              <c:pt idx="2">
                <c:v>13</c:v>
              </c:pt>
              <c:pt idx="3">
                <c:v>17</c:v>
              </c:pt>
            </c:numLit>
          </c:val>
          <c:extLst>
            <c:ext xmlns:c16="http://schemas.microsoft.com/office/drawing/2014/chart" uri="{C3380CC4-5D6E-409C-BE32-E72D297353CC}">
              <c16:uniqueId val="{00000000-45BA-4DBE-B9F4-1065A5E18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3080296"/>
        <c:axId val="683072376"/>
      </c:barChart>
      <c:catAx>
        <c:axId val="683080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683072376"/>
        <c:crosses val="autoZero"/>
        <c:auto val="1"/>
        <c:lblAlgn val="ctr"/>
        <c:lblOffset val="100"/>
        <c:noMultiLvlLbl val="0"/>
      </c:catAx>
      <c:valAx>
        <c:axId val="683072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683080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10. How important is mental health at your university?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Extremely important</c:v>
              </c:pt>
              <c:pt idx="1">
                <c:v>Important</c:v>
              </c:pt>
              <c:pt idx="2">
                <c:v>Not important</c:v>
              </c:pt>
              <c:pt idx="3">
                <c:v>Somewhat important</c:v>
              </c:pt>
            </c:strLit>
          </c:cat>
          <c:val>
            <c:numLit>
              <c:formatCode>General</c:formatCode>
              <c:ptCount val="4"/>
              <c:pt idx="0">
                <c:v>15</c:v>
              </c:pt>
              <c:pt idx="1">
                <c:v>6</c:v>
              </c:pt>
              <c:pt idx="2">
                <c:v>15</c:v>
              </c:pt>
              <c:pt idx="3">
                <c:v>13</c:v>
              </c:pt>
            </c:numLit>
          </c:val>
          <c:extLst>
            <c:ext xmlns:c16="http://schemas.microsoft.com/office/drawing/2014/chart" uri="{C3380CC4-5D6E-409C-BE32-E72D297353CC}">
              <c16:uniqueId val="{00000000-8B24-453D-9BA4-2B7FE6F45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3084256"/>
        <c:axId val="683082096"/>
      </c:barChart>
      <c:catAx>
        <c:axId val="683084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683082096"/>
        <c:crosses val="autoZero"/>
        <c:auto val="1"/>
        <c:lblAlgn val="ctr"/>
        <c:lblOffset val="100"/>
        <c:noMultiLvlLbl val="0"/>
      </c:catAx>
      <c:valAx>
        <c:axId val="683082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683084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1. What is your year of study?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1st year</c:v>
              </c:pt>
              <c:pt idx="1">
                <c:v>2nd year</c:v>
              </c:pt>
              <c:pt idx="2">
                <c:v>3rd year</c:v>
              </c:pt>
              <c:pt idx="3">
                <c:v>4th year</c:v>
              </c:pt>
            </c:strLit>
          </c:cat>
          <c:val>
            <c:numLit>
              <c:formatCode>General</c:formatCode>
              <c:ptCount val="4"/>
              <c:pt idx="0">
                <c:v>13</c:v>
              </c:pt>
              <c:pt idx="1">
                <c:v>22</c:v>
              </c:pt>
              <c:pt idx="2">
                <c:v>5</c:v>
              </c:pt>
              <c:pt idx="3">
                <c:v>10</c:v>
              </c:pt>
            </c:numLit>
          </c:val>
          <c:extLst>
            <c:ext xmlns:c16="http://schemas.microsoft.com/office/drawing/2014/chart" uri="{C3380CC4-5D6E-409C-BE32-E72D297353CC}">
              <c16:uniqueId val="{00000000-161F-4C2F-B681-EFBA0BD99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5230744"/>
        <c:axId val="501553336"/>
      </c:barChart>
      <c:catAx>
        <c:axId val="565230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501553336"/>
        <c:crosses val="autoZero"/>
        <c:auto val="1"/>
        <c:lblAlgn val="ctr"/>
        <c:lblOffset val="100"/>
        <c:noMultiLvlLbl val="0"/>
      </c:catAx>
      <c:valAx>
        <c:axId val="501553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565230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2. What is your major?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Business</c:v>
              </c:pt>
              <c:pt idx="1">
                <c:v>Engineering</c:v>
              </c:pt>
              <c:pt idx="2">
                <c:v>Sciences</c:v>
              </c:pt>
            </c:strLit>
          </c:cat>
          <c:val>
            <c:numLit>
              <c:formatCode>General</c:formatCode>
              <c:ptCount val="3"/>
              <c:pt idx="0">
                <c:v>18</c:v>
              </c:pt>
              <c:pt idx="1">
                <c:v>13</c:v>
              </c:pt>
              <c:pt idx="2">
                <c:v>19</c:v>
              </c:pt>
            </c:numLit>
          </c:val>
          <c:extLst>
            <c:ext xmlns:c16="http://schemas.microsoft.com/office/drawing/2014/chart" uri="{C3380CC4-5D6E-409C-BE32-E72D297353CC}">
              <c16:uniqueId val="{00000000-B983-4747-AB96-4A006549B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1551536"/>
        <c:axId val="565230744"/>
      </c:barChart>
      <c:catAx>
        <c:axId val="50155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565230744"/>
        <c:crosses val="autoZero"/>
        <c:auto val="1"/>
        <c:lblAlgn val="ctr"/>
        <c:lblOffset val="100"/>
        <c:noMultiLvlLbl val="0"/>
      </c:catAx>
      <c:valAx>
        <c:axId val="565230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501551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3. What is your gender?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19</c:v>
              </c:pt>
              <c:pt idx="1">
                <c:v>31</c:v>
              </c:pt>
            </c:numLit>
          </c:val>
          <c:extLst>
            <c:ext xmlns:c16="http://schemas.microsoft.com/office/drawing/2014/chart" uri="{C3380CC4-5D6E-409C-BE32-E72D297353CC}">
              <c16:uniqueId val="{00000000-5D0D-43A7-A692-8C5B3B686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7766224"/>
        <c:axId val="1037766944"/>
      </c:barChart>
      <c:catAx>
        <c:axId val="103776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037766944"/>
        <c:crosses val="autoZero"/>
        <c:auto val="1"/>
        <c:lblAlgn val="ctr"/>
        <c:lblOffset val="100"/>
        <c:noMultiLvlLbl val="0"/>
      </c:catAx>
      <c:valAx>
        <c:axId val="103776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037766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4. What type of institution are you at?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2"/>
              <c:pt idx="0">
                <c:v>1</c:v>
              </c:pt>
              <c:pt idx="1">
                <c:v>2</c:v>
              </c:pt>
            </c:numLit>
          </c:cat>
          <c:val>
            <c:numLit>
              <c:formatCode>General</c:formatCode>
              <c:ptCount val="2"/>
              <c:pt idx="0">
                <c:v>36</c:v>
              </c:pt>
              <c:pt idx="1">
                <c:v>14</c:v>
              </c:pt>
            </c:numLit>
          </c:val>
          <c:extLst>
            <c:ext xmlns:c16="http://schemas.microsoft.com/office/drawing/2014/chart" uri="{C3380CC4-5D6E-409C-BE32-E72D297353CC}">
              <c16:uniqueId val="{00000000-5822-49F4-822C-BCCA67917D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7782064"/>
        <c:axId val="1037774144"/>
      </c:barChart>
      <c:catAx>
        <c:axId val="103778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037774144"/>
        <c:crosses val="autoZero"/>
        <c:auto val="1"/>
        <c:lblAlgn val="ctr"/>
        <c:lblOffset val="100"/>
        <c:noMultiLvlLbl val="0"/>
      </c:catAx>
      <c:valAx>
        <c:axId val="103777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037782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5. What is your preferred stressed coping mechanism?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Hobbies</c:v>
              </c:pt>
              <c:pt idx="1">
                <c:v>None</c:v>
              </c:pt>
              <c:pt idx="2">
                <c:v>Sleep</c:v>
              </c:pt>
              <c:pt idx="3">
                <c:v>Talking to friends</c:v>
              </c:pt>
            </c:strLit>
          </c:cat>
          <c:val>
            <c:numLit>
              <c:formatCode>General</c:formatCode>
              <c:ptCount val="4"/>
              <c:pt idx="0">
                <c:v>10</c:v>
              </c:pt>
              <c:pt idx="1">
                <c:v>5</c:v>
              </c:pt>
              <c:pt idx="2">
                <c:v>23</c:v>
              </c:pt>
              <c:pt idx="3">
                <c:v>12</c:v>
              </c:pt>
            </c:numLit>
          </c:val>
          <c:extLst>
            <c:ext xmlns:c16="http://schemas.microsoft.com/office/drawing/2014/chart" uri="{C3380CC4-5D6E-409C-BE32-E72D297353CC}">
              <c16:uniqueId val="{00000000-82CF-4824-9660-DC18CAA3D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1635360"/>
        <c:axId val="491638960"/>
      </c:barChart>
      <c:catAx>
        <c:axId val="491635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491638960"/>
        <c:crosses val="autoZero"/>
        <c:auto val="1"/>
        <c:lblAlgn val="ctr"/>
        <c:lblOffset val="100"/>
        <c:noMultiLvlLbl val="0"/>
      </c:catAx>
      <c:valAx>
        <c:axId val="49163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491635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6. What stress relief activity do you prefer?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Gaming</c:v>
              </c:pt>
              <c:pt idx="1">
                <c:v>Journaling</c:v>
              </c:pt>
              <c:pt idx="2">
                <c:v>Meditation</c:v>
              </c:pt>
              <c:pt idx="3">
                <c:v>Music</c:v>
              </c:pt>
            </c:strLit>
          </c:cat>
          <c:val>
            <c:numLit>
              <c:formatCode>General</c:formatCode>
              <c:ptCount val="4"/>
              <c:pt idx="0">
                <c:v>14</c:v>
              </c:pt>
              <c:pt idx="1">
                <c:v>8</c:v>
              </c:pt>
              <c:pt idx="2">
                <c:v>10</c:v>
              </c:pt>
              <c:pt idx="3">
                <c:v>18</c:v>
              </c:pt>
            </c:numLit>
          </c:val>
          <c:extLst>
            <c:ext xmlns:c16="http://schemas.microsoft.com/office/drawing/2014/chart" uri="{C3380CC4-5D6E-409C-BE32-E72D297353CC}">
              <c16:uniqueId val="{00000000-CE94-4560-86C1-DEA32967B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634640"/>
        <c:axId val="491642560"/>
      </c:barChart>
      <c:catAx>
        <c:axId val="491634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491642560"/>
        <c:crosses val="autoZero"/>
        <c:auto val="1"/>
        <c:lblAlgn val="ctr"/>
        <c:lblOffset val="100"/>
        <c:noMultiLvlLbl val="0"/>
      </c:catAx>
      <c:valAx>
        <c:axId val="49164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491634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7. What is your preferred study method?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Group study</c:v>
              </c:pt>
              <c:pt idx="1">
                <c:v>Online resources</c:v>
              </c:pt>
              <c:pt idx="2">
                <c:v>Solo</c:v>
              </c:pt>
              <c:pt idx="3">
                <c:v>Tutoring</c:v>
              </c:pt>
            </c:strLit>
          </c:cat>
          <c:val>
            <c:numLit>
              <c:formatCode>General</c:formatCode>
              <c:ptCount val="4"/>
              <c:pt idx="0">
                <c:v>6</c:v>
              </c:pt>
              <c:pt idx="1">
                <c:v>11</c:v>
              </c:pt>
              <c:pt idx="2">
                <c:v>30</c:v>
              </c:pt>
              <c:pt idx="3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0-E8AE-4098-93D2-CF22F18B5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1619032"/>
        <c:axId val="481617592"/>
      </c:barChart>
      <c:catAx>
        <c:axId val="481619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481617592"/>
        <c:crosses val="autoZero"/>
        <c:auto val="1"/>
        <c:lblAlgn val="ctr"/>
        <c:lblOffset val="100"/>
        <c:noMultiLvlLbl val="0"/>
      </c:catAx>
      <c:valAx>
        <c:axId val="481617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481619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8. Which mental health resources do you use?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Counseling center</c:v>
              </c:pt>
              <c:pt idx="1">
                <c:v>None</c:v>
              </c:pt>
              <c:pt idx="2">
                <c:v>Online therapy</c:v>
              </c:pt>
              <c:pt idx="3">
                <c:v>Peer support</c:v>
              </c:pt>
            </c:strLit>
          </c:cat>
          <c:val>
            <c:numLit>
              <c:formatCode>General</c:formatCode>
              <c:ptCount val="4"/>
              <c:pt idx="0">
                <c:v>8</c:v>
              </c:pt>
              <c:pt idx="1">
                <c:v>23</c:v>
              </c:pt>
              <c:pt idx="2">
                <c:v>8</c:v>
              </c:pt>
              <c:pt idx="3">
                <c:v>11</c:v>
              </c:pt>
            </c:numLit>
          </c:val>
          <c:extLst>
            <c:ext xmlns:c16="http://schemas.microsoft.com/office/drawing/2014/chart" uri="{C3380CC4-5D6E-409C-BE32-E72D297353CC}">
              <c16:uniqueId val="{00000000-9B5C-4577-BF9B-FA342E1BE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7400064"/>
        <c:axId val="387403304"/>
      </c:barChart>
      <c:catAx>
        <c:axId val="387400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387403304"/>
        <c:crosses val="autoZero"/>
        <c:auto val="1"/>
        <c:lblAlgn val="ctr"/>
        <c:lblOffset val="100"/>
        <c:noMultiLvlLbl val="0"/>
      </c:catAx>
      <c:valAx>
        <c:axId val="387403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387400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9. What contributes most to your academic stress?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Exams / Assignments</c:v>
              </c:pt>
              <c:pt idx="1">
                <c:v>Lack of support</c:v>
              </c:pt>
              <c:pt idx="2">
                <c:v>Personal expectations</c:v>
              </c:pt>
              <c:pt idx="3">
                <c:v>Time pressure</c:v>
              </c:pt>
            </c:strLit>
          </c:cat>
          <c:val>
            <c:numLit>
              <c:formatCode>General</c:formatCode>
              <c:ptCount val="4"/>
              <c:pt idx="0">
                <c:v>24</c:v>
              </c:pt>
              <c:pt idx="1">
                <c:v>7</c:v>
              </c:pt>
              <c:pt idx="2">
                <c:v>9</c:v>
              </c:pt>
              <c:pt idx="3">
                <c:v>10</c:v>
              </c:pt>
            </c:numLit>
          </c:val>
          <c:extLst>
            <c:ext xmlns:c16="http://schemas.microsoft.com/office/drawing/2014/chart" uri="{C3380CC4-5D6E-409C-BE32-E72D297353CC}">
              <c16:uniqueId val="{00000000-9CF8-438B-A324-48C439697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7404024"/>
        <c:axId val="387400064"/>
      </c:barChart>
      <c:catAx>
        <c:axId val="387404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387400064"/>
        <c:crosses val="autoZero"/>
        <c:auto val="1"/>
        <c:lblAlgn val="ctr"/>
        <c:lblOffset val="100"/>
        <c:noMultiLvlLbl val="0"/>
      </c:catAx>
      <c:valAx>
        <c:axId val="387400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387404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10. Which social media do you use most (affecting stress)?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Instagram</c:v>
              </c:pt>
              <c:pt idx="1">
                <c:v>None</c:v>
              </c:pt>
              <c:pt idx="2">
                <c:v>TikTok</c:v>
              </c:pt>
              <c:pt idx="3">
                <c:v>YouTube</c:v>
              </c:pt>
            </c:strLit>
          </c:cat>
          <c:val>
            <c:numLit>
              <c:formatCode>General</c:formatCode>
              <c:ptCount val="4"/>
              <c:pt idx="0">
                <c:v>26</c:v>
              </c:pt>
              <c:pt idx="1">
                <c:v>11</c:v>
              </c:pt>
              <c:pt idx="2">
                <c:v>3</c:v>
              </c:pt>
              <c:pt idx="3">
                <c:v>10</c:v>
              </c:pt>
            </c:numLit>
          </c:val>
          <c:extLst>
            <c:ext xmlns:c16="http://schemas.microsoft.com/office/drawing/2014/chart" uri="{C3380CC4-5D6E-409C-BE32-E72D297353CC}">
              <c16:uniqueId val="{00000000-AFCD-491A-9D06-E05AA9513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1496232"/>
        <c:axId val="541499472"/>
      </c:barChart>
      <c:catAx>
        <c:axId val="541496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541499472"/>
        <c:crosses val="autoZero"/>
        <c:auto val="1"/>
        <c:lblAlgn val="ctr"/>
        <c:lblOffset val="100"/>
        <c:noMultiLvlLbl val="0"/>
      </c:catAx>
      <c:valAx>
        <c:axId val="5414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541496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Stress</a:t>
            </a:r>
            <a:r>
              <a:rPr lang="en-US" baseline="0"/>
              <a:t> During Final Weeks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'Fourth Part Questions (31-40) '!$A$2:$A$51</c:f>
              <c:numCache>
                <c:formatCode>General</c:formatCode>
                <c:ptCount val="50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2</c:v>
                </c:pt>
                <c:pt idx="4">
                  <c:v>4</c:v>
                </c:pt>
                <c:pt idx="5">
                  <c:v>1</c:v>
                </c:pt>
                <c:pt idx="6">
                  <c:v>5</c:v>
                </c:pt>
                <c:pt idx="7">
                  <c:v>2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2</c:v>
                </c:pt>
                <c:pt idx="12">
                  <c:v>5</c:v>
                </c:pt>
                <c:pt idx="13">
                  <c:v>5</c:v>
                </c:pt>
                <c:pt idx="14">
                  <c:v>3</c:v>
                </c:pt>
                <c:pt idx="15">
                  <c:v>5</c:v>
                </c:pt>
                <c:pt idx="16">
                  <c:v>3</c:v>
                </c:pt>
                <c:pt idx="17">
                  <c:v>3</c:v>
                </c:pt>
                <c:pt idx="18">
                  <c:v>1</c:v>
                </c:pt>
                <c:pt idx="19">
                  <c:v>2</c:v>
                </c:pt>
                <c:pt idx="20">
                  <c:v>3</c:v>
                </c:pt>
                <c:pt idx="21">
                  <c:v>3</c:v>
                </c:pt>
                <c:pt idx="22">
                  <c:v>5</c:v>
                </c:pt>
                <c:pt idx="23">
                  <c:v>1</c:v>
                </c:pt>
                <c:pt idx="24">
                  <c:v>5</c:v>
                </c:pt>
                <c:pt idx="25">
                  <c:v>4</c:v>
                </c:pt>
                <c:pt idx="26">
                  <c:v>3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4</c:v>
                </c:pt>
                <c:pt idx="32">
                  <c:v>1</c:v>
                </c:pt>
                <c:pt idx="33">
                  <c:v>5</c:v>
                </c:pt>
                <c:pt idx="34">
                  <c:v>2</c:v>
                </c:pt>
                <c:pt idx="35">
                  <c:v>5</c:v>
                </c:pt>
                <c:pt idx="36">
                  <c:v>1</c:v>
                </c:pt>
                <c:pt idx="37">
                  <c:v>5</c:v>
                </c:pt>
                <c:pt idx="38">
                  <c:v>1</c:v>
                </c:pt>
                <c:pt idx="39">
                  <c:v>1</c:v>
                </c:pt>
                <c:pt idx="40">
                  <c:v>5</c:v>
                </c:pt>
                <c:pt idx="41">
                  <c:v>3</c:v>
                </c:pt>
                <c:pt idx="42">
                  <c:v>1</c:v>
                </c:pt>
                <c:pt idx="43">
                  <c:v>1</c:v>
                </c:pt>
                <c:pt idx="44">
                  <c:v>4</c:v>
                </c:pt>
                <c:pt idx="45">
                  <c:v>4</c:v>
                </c:pt>
                <c:pt idx="46">
                  <c:v>5</c:v>
                </c:pt>
                <c:pt idx="47">
                  <c:v>3</c:v>
                </c:pt>
                <c:pt idx="48">
                  <c:v>2</c:v>
                </c:pt>
                <c:pt idx="4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4A-4211-BBA6-1B755EA12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2142152"/>
        <c:axId val="392138552"/>
      </c:scatterChart>
      <c:valAx>
        <c:axId val="392142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392138552"/>
        <c:crosses val="autoZero"/>
        <c:crossBetween val="midCat"/>
      </c:valAx>
      <c:valAx>
        <c:axId val="392138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392142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Rating</a:t>
            </a:r>
            <a:r>
              <a:rPr lang="en-US" baseline="0"/>
              <a:t> of Feeling Anxious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'Fourth Part Questions (31-40) '!$B$2:$B$51</c:f>
              <c:numCache>
                <c:formatCode>General</c:formatCode>
                <c:ptCount val="50"/>
                <c:pt idx="0">
                  <c:v>4</c:v>
                </c:pt>
                <c:pt idx="1">
                  <c:v>4</c:v>
                </c:pt>
                <c:pt idx="2">
                  <c:v>2</c:v>
                </c:pt>
                <c:pt idx="3">
                  <c:v>3</c:v>
                </c:pt>
                <c:pt idx="4">
                  <c:v>5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4</c:v>
                </c:pt>
                <c:pt idx="10">
                  <c:v>3</c:v>
                </c:pt>
                <c:pt idx="11">
                  <c:v>2</c:v>
                </c:pt>
                <c:pt idx="12">
                  <c:v>4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3</c:v>
                </c:pt>
                <c:pt idx="17">
                  <c:v>3</c:v>
                </c:pt>
                <c:pt idx="18">
                  <c:v>2</c:v>
                </c:pt>
                <c:pt idx="19">
                  <c:v>2</c:v>
                </c:pt>
                <c:pt idx="20">
                  <c:v>3</c:v>
                </c:pt>
                <c:pt idx="21">
                  <c:v>2</c:v>
                </c:pt>
                <c:pt idx="22">
                  <c:v>4</c:v>
                </c:pt>
                <c:pt idx="23">
                  <c:v>1</c:v>
                </c:pt>
                <c:pt idx="24">
                  <c:v>4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2</c:v>
                </c:pt>
                <c:pt idx="29">
                  <c:v>4</c:v>
                </c:pt>
                <c:pt idx="30">
                  <c:v>3</c:v>
                </c:pt>
                <c:pt idx="31">
                  <c:v>4</c:v>
                </c:pt>
                <c:pt idx="32">
                  <c:v>1</c:v>
                </c:pt>
                <c:pt idx="33">
                  <c:v>5</c:v>
                </c:pt>
                <c:pt idx="34">
                  <c:v>2</c:v>
                </c:pt>
                <c:pt idx="35">
                  <c:v>5</c:v>
                </c:pt>
                <c:pt idx="36">
                  <c:v>1</c:v>
                </c:pt>
                <c:pt idx="37">
                  <c:v>3</c:v>
                </c:pt>
                <c:pt idx="38">
                  <c:v>1</c:v>
                </c:pt>
                <c:pt idx="39">
                  <c:v>1</c:v>
                </c:pt>
                <c:pt idx="40">
                  <c:v>2</c:v>
                </c:pt>
                <c:pt idx="41">
                  <c:v>2</c:v>
                </c:pt>
                <c:pt idx="42">
                  <c:v>1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5</c:v>
                </c:pt>
                <c:pt idx="47">
                  <c:v>1</c:v>
                </c:pt>
                <c:pt idx="48">
                  <c:v>3</c:v>
                </c:pt>
                <c:pt idx="4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37-4D6A-B9F8-E525E33E7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1870520"/>
        <c:axId val="701873400"/>
      </c:scatterChart>
      <c:valAx>
        <c:axId val="701870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701873400"/>
        <c:crosses val="autoZero"/>
        <c:crossBetween val="midCat"/>
      </c:valAx>
      <c:valAx>
        <c:axId val="701873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701870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Burnout</a:t>
            </a:r>
            <a:r>
              <a:rPr lang="en-US" baseline="0"/>
              <a:t> Experience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'Fourth Part Questions (31-40) '!$C$2:$C$51</c:f>
              <c:numCache>
                <c:formatCode>General</c:formatCode>
                <c:ptCount val="50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4</c:v>
                </c:pt>
                <c:pt idx="16">
                  <c:v>3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3</c:v>
                </c:pt>
                <c:pt idx="21">
                  <c:v>2</c:v>
                </c:pt>
                <c:pt idx="22">
                  <c:v>3</c:v>
                </c:pt>
                <c:pt idx="23">
                  <c:v>1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2</c:v>
                </c:pt>
                <c:pt idx="28">
                  <c:v>3</c:v>
                </c:pt>
                <c:pt idx="29">
                  <c:v>4</c:v>
                </c:pt>
                <c:pt idx="30">
                  <c:v>3</c:v>
                </c:pt>
                <c:pt idx="31">
                  <c:v>4</c:v>
                </c:pt>
                <c:pt idx="32">
                  <c:v>1</c:v>
                </c:pt>
                <c:pt idx="33">
                  <c:v>5</c:v>
                </c:pt>
                <c:pt idx="34">
                  <c:v>1</c:v>
                </c:pt>
                <c:pt idx="35">
                  <c:v>5</c:v>
                </c:pt>
                <c:pt idx="36">
                  <c:v>1</c:v>
                </c:pt>
                <c:pt idx="37">
                  <c:v>2</c:v>
                </c:pt>
                <c:pt idx="38">
                  <c:v>1</c:v>
                </c:pt>
                <c:pt idx="39">
                  <c:v>1</c:v>
                </c:pt>
                <c:pt idx="40">
                  <c:v>4</c:v>
                </c:pt>
                <c:pt idx="41">
                  <c:v>4</c:v>
                </c:pt>
                <c:pt idx="42">
                  <c:v>1</c:v>
                </c:pt>
                <c:pt idx="43">
                  <c:v>1</c:v>
                </c:pt>
                <c:pt idx="44">
                  <c:v>4</c:v>
                </c:pt>
                <c:pt idx="45">
                  <c:v>3</c:v>
                </c:pt>
                <c:pt idx="46">
                  <c:v>5</c:v>
                </c:pt>
                <c:pt idx="47">
                  <c:v>2</c:v>
                </c:pt>
                <c:pt idx="48">
                  <c:v>1</c:v>
                </c:pt>
                <c:pt idx="4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46-4CCF-AC42-4587466B1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2143952"/>
        <c:axId val="392145032"/>
      </c:scatterChart>
      <c:valAx>
        <c:axId val="392143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392145032"/>
        <c:crosses val="autoZero"/>
        <c:crossBetween val="midCat"/>
      </c:valAx>
      <c:valAx>
        <c:axId val="392145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392143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Academic</a:t>
            </a:r>
            <a:r>
              <a:rPr lang="en-US" baseline="0"/>
              <a:t> Performance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'Fourth Part Questions (31-40) '!$D$2:$D$51</c:f>
              <c:numCache>
                <c:formatCode>General</c:formatCode>
                <c:ptCount val="50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1</c:v>
                </c:pt>
                <c:pt idx="6">
                  <c:v>5</c:v>
                </c:pt>
                <c:pt idx="7">
                  <c:v>2</c:v>
                </c:pt>
                <c:pt idx="8">
                  <c:v>2</c:v>
                </c:pt>
                <c:pt idx="9">
                  <c:v>4</c:v>
                </c:pt>
                <c:pt idx="10">
                  <c:v>3</c:v>
                </c:pt>
                <c:pt idx="11">
                  <c:v>2</c:v>
                </c:pt>
                <c:pt idx="12">
                  <c:v>4</c:v>
                </c:pt>
                <c:pt idx="13">
                  <c:v>5</c:v>
                </c:pt>
                <c:pt idx="14">
                  <c:v>2</c:v>
                </c:pt>
                <c:pt idx="15">
                  <c:v>5</c:v>
                </c:pt>
                <c:pt idx="16">
                  <c:v>3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5</c:v>
                </c:pt>
                <c:pt idx="23">
                  <c:v>1</c:v>
                </c:pt>
                <c:pt idx="24">
                  <c:v>5</c:v>
                </c:pt>
                <c:pt idx="25">
                  <c:v>4</c:v>
                </c:pt>
                <c:pt idx="26">
                  <c:v>3</c:v>
                </c:pt>
                <c:pt idx="27">
                  <c:v>5</c:v>
                </c:pt>
                <c:pt idx="28">
                  <c:v>4</c:v>
                </c:pt>
                <c:pt idx="29">
                  <c:v>3</c:v>
                </c:pt>
                <c:pt idx="30">
                  <c:v>4</c:v>
                </c:pt>
                <c:pt idx="31">
                  <c:v>5</c:v>
                </c:pt>
                <c:pt idx="32">
                  <c:v>1</c:v>
                </c:pt>
                <c:pt idx="33">
                  <c:v>5</c:v>
                </c:pt>
                <c:pt idx="34">
                  <c:v>3</c:v>
                </c:pt>
                <c:pt idx="35">
                  <c:v>5</c:v>
                </c:pt>
                <c:pt idx="36">
                  <c:v>1</c:v>
                </c:pt>
                <c:pt idx="37">
                  <c:v>3</c:v>
                </c:pt>
                <c:pt idx="38">
                  <c:v>1</c:v>
                </c:pt>
                <c:pt idx="39">
                  <c:v>1</c:v>
                </c:pt>
                <c:pt idx="40">
                  <c:v>3</c:v>
                </c:pt>
                <c:pt idx="41">
                  <c:v>2</c:v>
                </c:pt>
                <c:pt idx="42">
                  <c:v>1</c:v>
                </c:pt>
                <c:pt idx="43">
                  <c:v>2</c:v>
                </c:pt>
                <c:pt idx="44">
                  <c:v>3</c:v>
                </c:pt>
                <c:pt idx="45">
                  <c:v>4</c:v>
                </c:pt>
                <c:pt idx="46">
                  <c:v>5</c:v>
                </c:pt>
                <c:pt idx="47">
                  <c:v>2</c:v>
                </c:pt>
                <c:pt idx="48">
                  <c:v>3</c:v>
                </c:pt>
                <c:pt idx="4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E4-44A6-ABCC-4666CA9E4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2128832"/>
        <c:axId val="392135312"/>
      </c:scatterChart>
      <c:valAx>
        <c:axId val="392128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392135312"/>
        <c:crosses val="autoZero"/>
        <c:crossBetween val="midCat"/>
      </c:valAx>
      <c:valAx>
        <c:axId val="39213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392128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Rates</a:t>
            </a:r>
            <a:r>
              <a:rPr lang="en-US" baseline="0"/>
              <a:t> of Stress Management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'Fourth Part Questions (31-40) '!$E$2:$E$51</c:f>
              <c:numCache>
                <c:formatCode>General</c:formatCode>
                <c:ptCount val="50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2</c:v>
                </c:pt>
                <c:pt idx="8">
                  <c:v>2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4</c:v>
                </c:pt>
                <c:pt idx="13">
                  <c:v>4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2</c:v>
                </c:pt>
                <c:pt idx="20">
                  <c:v>2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4</c:v>
                </c:pt>
                <c:pt idx="25">
                  <c:v>4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1</c:v>
                </c:pt>
                <c:pt idx="30">
                  <c:v>3</c:v>
                </c:pt>
                <c:pt idx="31">
                  <c:v>1</c:v>
                </c:pt>
                <c:pt idx="32">
                  <c:v>3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5</c:v>
                </c:pt>
                <c:pt idx="37">
                  <c:v>2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4</c:v>
                </c:pt>
                <c:pt idx="42">
                  <c:v>3</c:v>
                </c:pt>
                <c:pt idx="43">
                  <c:v>3</c:v>
                </c:pt>
                <c:pt idx="44">
                  <c:v>2</c:v>
                </c:pt>
                <c:pt idx="45">
                  <c:v>2</c:v>
                </c:pt>
                <c:pt idx="46">
                  <c:v>5</c:v>
                </c:pt>
                <c:pt idx="47">
                  <c:v>3</c:v>
                </c:pt>
                <c:pt idx="48">
                  <c:v>3</c:v>
                </c:pt>
                <c:pt idx="4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A8-435B-9E78-981627125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2152592"/>
        <c:axId val="392153312"/>
      </c:scatterChart>
      <c:valAx>
        <c:axId val="392152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392153312"/>
        <c:crosses val="autoZero"/>
        <c:crossBetween val="midCat"/>
      </c:valAx>
      <c:valAx>
        <c:axId val="39215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392152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Emotional</a:t>
            </a:r>
            <a:r>
              <a:rPr lang="en-US" baseline="0"/>
              <a:t> Well-Being Rating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'Fourth Part Questions (31-40) '!$F$2:$F$51</c:f>
              <c:numCache>
                <c:formatCode>General</c:formatCode>
                <c:ptCount val="5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1</c:v>
                </c:pt>
                <c:pt idx="4">
                  <c:v>3</c:v>
                </c:pt>
                <c:pt idx="5">
                  <c:v>4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2</c:v>
                </c:pt>
                <c:pt idx="12">
                  <c:v>4</c:v>
                </c:pt>
                <c:pt idx="13">
                  <c:v>3</c:v>
                </c:pt>
                <c:pt idx="14">
                  <c:v>4</c:v>
                </c:pt>
                <c:pt idx="15">
                  <c:v>1</c:v>
                </c:pt>
                <c:pt idx="16">
                  <c:v>3</c:v>
                </c:pt>
                <c:pt idx="17">
                  <c:v>3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3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4</c:v>
                </c:pt>
                <c:pt idx="26">
                  <c:v>3</c:v>
                </c:pt>
                <c:pt idx="27">
                  <c:v>5</c:v>
                </c:pt>
                <c:pt idx="28">
                  <c:v>5</c:v>
                </c:pt>
                <c:pt idx="29">
                  <c:v>2</c:v>
                </c:pt>
                <c:pt idx="30">
                  <c:v>3</c:v>
                </c:pt>
                <c:pt idx="31">
                  <c:v>5</c:v>
                </c:pt>
                <c:pt idx="32">
                  <c:v>3</c:v>
                </c:pt>
                <c:pt idx="33">
                  <c:v>1</c:v>
                </c:pt>
                <c:pt idx="34">
                  <c:v>4</c:v>
                </c:pt>
                <c:pt idx="35">
                  <c:v>1</c:v>
                </c:pt>
                <c:pt idx="36">
                  <c:v>5</c:v>
                </c:pt>
                <c:pt idx="37">
                  <c:v>1</c:v>
                </c:pt>
                <c:pt idx="38">
                  <c:v>5</c:v>
                </c:pt>
                <c:pt idx="39">
                  <c:v>5</c:v>
                </c:pt>
                <c:pt idx="40">
                  <c:v>3</c:v>
                </c:pt>
                <c:pt idx="41">
                  <c:v>2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2</c:v>
                </c:pt>
                <c:pt idx="46">
                  <c:v>1</c:v>
                </c:pt>
                <c:pt idx="47">
                  <c:v>3</c:v>
                </c:pt>
                <c:pt idx="48">
                  <c:v>1</c:v>
                </c:pt>
                <c:pt idx="4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07-486A-9CE5-9BF5C9158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618800"/>
        <c:axId val="491622400"/>
      </c:scatterChart>
      <c:valAx>
        <c:axId val="491618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491622400"/>
        <c:crosses val="autoZero"/>
        <c:crossBetween val="midCat"/>
      </c:valAx>
      <c:valAx>
        <c:axId val="49162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491618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</a:t>
            </a:r>
            <a:r>
              <a:rPr lang="en-US" baseline="0"/>
              <a:t> Energy Levels During Semester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'Fourth Part Questions (31-40) '!$G$2:$G$51</c:f>
              <c:numCache>
                <c:formatCode>General</c:formatCode>
                <c:ptCount val="50"/>
                <c:pt idx="0">
                  <c:v>3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4</c:v>
                </c:pt>
                <c:pt idx="10">
                  <c:v>5</c:v>
                </c:pt>
                <c:pt idx="11">
                  <c:v>2</c:v>
                </c:pt>
                <c:pt idx="12">
                  <c:v>3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3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3</c:v>
                </c:pt>
                <c:pt idx="21">
                  <c:v>3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4</c:v>
                </c:pt>
                <c:pt idx="26">
                  <c:v>3</c:v>
                </c:pt>
                <c:pt idx="27">
                  <c:v>3</c:v>
                </c:pt>
                <c:pt idx="28">
                  <c:v>5</c:v>
                </c:pt>
                <c:pt idx="29">
                  <c:v>2</c:v>
                </c:pt>
                <c:pt idx="30">
                  <c:v>5</c:v>
                </c:pt>
                <c:pt idx="31">
                  <c:v>5</c:v>
                </c:pt>
                <c:pt idx="32">
                  <c:v>3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5</c:v>
                </c:pt>
                <c:pt idx="37">
                  <c:v>3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2</c:v>
                </c:pt>
                <c:pt idx="45">
                  <c:v>3</c:v>
                </c:pt>
                <c:pt idx="46">
                  <c:v>5</c:v>
                </c:pt>
                <c:pt idx="47">
                  <c:v>1</c:v>
                </c:pt>
                <c:pt idx="48">
                  <c:v>1</c:v>
                </c:pt>
                <c:pt idx="49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04-42A2-A63F-D869F5A35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1874480"/>
        <c:axId val="701876280"/>
      </c:scatterChart>
      <c:valAx>
        <c:axId val="701874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701876280"/>
        <c:crosses val="autoZero"/>
        <c:crossBetween val="midCat"/>
      </c:valAx>
      <c:valAx>
        <c:axId val="701876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701874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Concentration</a:t>
            </a:r>
            <a:r>
              <a:rPr lang="en-US" baseline="0"/>
              <a:t> on Tasks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'Fourth Part Questions (31-40) '!$H$2:$H$51</c:f>
              <c:numCache>
                <c:formatCode>General</c:formatCode>
                <c:ptCount val="50"/>
                <c:pt idx="0">
                  <c:v>3</c:v>
                </c:pt>
                <c:pt idx="1">
                  <c:v>1</c:v>
                </c:pt>
                <c:pt idx="2">
                  <c:v>5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2</c:v>
                </c:pt>
                <c:pt idx="12">
                  <c:v>4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3</c:v>
                </c:pt>
                <c:pt idx="17">
                  <c:v>3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4</c:v>
                </c:pt>
                <c:pt idx="23">
                  <c:v>1</c:v>
                </c:pt>
                <c:pt idx="24">
                  <c:v>3</c:v>
                </c:pt>
                <c:pt idx="25">
                  <c:v>4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1</c:v>
                </c:pt>
                <c:pt idx="30">
                  <c:v>3</c:v>
                </c:pt>
                <c:pt idx="31">
                  <c:v>5</c:v>
                </c:pt>
                <c:pt idx="32">
                  <c:v>3</c:v>
                </c:pt>
                <c:pt idx="33">
                  <c:v>1</c:v>
                </c:pt>
                <c:pt idx="34">
                  <c:v>4</c:v>
                </c:pt>
                <c:pt idx="35">
                  <c:v>4</c:v>
                </c:pt>
                <c:pt idx="36">
                  <c:v>5</c:v>
                </c:pt>
                <c:pt idx="37">
                  <c:v>2</c:v>
                </c:pt>
                <c:pt idx="38">
                  <c:v>5</c:v>
                </c:pt>
                <c:pt idx="39">
                  <c:v>5</c:v>
                </c:pt>
                <c:pt idx="40">
                  <c:v>2</c:v>
                </c:pt>
                <c:pt idx="41">
                  <c:v>3</c:v>
                </c:pt>
                <c:pt idx="42">
                  <c:v>1</c:v>
                </c:pt>
                <c:pt idx="43">
                  <c:v>2</c:v>
                </c:pt>
                <c:pt idx="44">
                  <c:v>3</c:v>
                </c:pt>
                <c:pt idx="45">
                  <c:v>2</c:v>
                </c:pt>
                <c:pt idx="46">
                  <c:v>1</c:v>
                </c:pt>
                <c:pt idx="47">
                  <c:v>2</c:v>
                </c:pt>
                <c:pt idx="48">
                  <c:v>1</c:v>
                </c:pt>
                <c:pt idx="4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1E-4D1E-989C-7B8BE30C4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4364600"/>
        <c:axId val="804370000"/>
      </c:scatterChart>
      <c:valAx>
        <c:axId val="804364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804370000"/>
        <c:crosses val="autoZero"/>
        <c:crossBetween val="midCat"/>
      </c:valAx>
      <c:valAx>
        <c:axId val="80437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804364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Sleep</a:t>
            </a:r>
            <a:r>
              <a:rPr lang="en-US" baseline="0"/>
              <a:t> Hour During Exam Periods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'Fourth Part Questions (31-40) '!$I$2:$I$51</c:f>
              <c:numCache>
                <c:formatCode>General</c:formatCode>
                <c:ptCount val="50"/>
                <c:pt idx="0">
                  <c:v>5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3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  <c:pt idx="25">
                  <c:v>4</c:v>
                </c:pt>
                <c:pt idx="26">
                  <c:v>3</c:v>
                </c:pt>
                <c:pt idx="27">
                  <c:v>2</c:v>
                </c:pt>
                <c:pt idx="28">
                  <c:v>1</c:v>
                </c:pt>
                <c:pt idx="29">
                  <c:v>1</c:v>
                </c:pt>
                <c:pt idx="30">
                  <c:v>5</c:v>
                </c:pt>
                <c:pt idx="31">
                  <c:v>2</c:v>
                </c:pt>
                <c:pt idx="32">
                  <c:v>3</c:v>
                </c:pt>
                <c:pt idx="33">
                  <c:v>1</c:v>
                </c:pt>
                <c:pt idx="34">
                  <c:v>1</c:v>
                </c:pt>
                <c:pt idx="35">
                  <c:v>4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3</c:v>
                </c:pt>
                <c:pt idx="41">
                  <c:v>2</c:v>
                </c:pt>
                <c:pt idx="42">
                  <c:v>1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5</c:v>
                </c:pt>
                <c:pt idx="47">
                  <c:v>4</c:v>
                </c:pt>
                <c:pt idx="48">
                  <c:v>1</c:v>
                </c:pt>
                <c:pt idx="4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33-4E5C-9003-06BFBCE5F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4361720"/>
        <c:axId val="804355600"/>
      </c:scatterChart>
      <c:valAx>
        <c:axId val="804361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804355600"/>
        <c:crosses val="autoZero"/>
        <c:crossBetween val="midCat"/>
      </c:valAx>
      <c:valAx>
        <c:axId val="80435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804361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Mental</a:t>
            </a:r>
            <a:r>
              <a:rPr lang="en-US" baseline="0"/>
              <a:t> Health Support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'Fourth Part Questions (31-40) '!$J$2:$J$51</c:f>
              <c:numCache>
                <c:formatCode>General</c:formatCode>
                <c:ptCount val="50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2</c:v>
                </c:pt>
                <c:pt idx="12">
                  <c:v>3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3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3</c:v>
                </c:pt>
                <c:pt idx="26">
                  <c:v>3</c:v>
                </c:pt>
                <c:pt idx="27">
                  <c:v>1</c:v>
                </c:pt>
                <c:pt idx="28">
                  <c:v>2</c:v>
                </c:pt>
                <c:pt idx="29">
                  <c:v>3</c:v>
                </c:pt>
                <c:pt idx="30">
                  <c:v>2</c:v>
                </c:pt>
                <c:pt idx="31">
                  <c:v>4</c:v>
                </c:pt>
                <c:pt idx="32">
                  <c:v>3</c:v>
                </c:pt>
                <c:pt idx="33">
                  <c:v>4</c:v>
                </c:pt>
                <c:pt idx="34">
                  <c:v>2</c:v>
                </c:pt>
                <c:pt idx="35">
                  <c:v>4</c:v>
                </c:pt>
                <c:pt idx="36">
                  <c:v>5</c:v>
                </c:pt>
                <c:pt idx="37">
                  <c:v>4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2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2</c:v>
                </c:pt>
                <c:pt idx="46">
                  <c:v>5</c:v>
                </c:pt>
                <c:pt idx="47">
                  <c:v>2</c:v>
                </c:pt>
                <c:pt idx="48">
                  <c:v>1</c:v>
                </c:pt>
                <c:pt idx="4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86-4FB2-904E-FD421A95B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4379720"/>
        <c:axId val="804375400"/>
      </c:scatterChart>
      <c:valAx>
        <c:axId val="804379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804375400"/>
        <c:crosses val="autoZero"/>
        <c:crossBetween val="midCat"/>
      </c:valAx>
      <c:valAx>
        <c:axId val="804375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804379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'Problem Statement'!$A$2:$A$51</c:f>
              <c:numCache>
                <c:formatCode>General</c:formatCode>
                <c:ptCount val="50"/>
                <c:pt idx="0">
                  <c:v>8</c:v>
                </c:pt>
                <c:pt idx="1">
                  <c:v>8</c:v>
                </c:pt>
                <c:pt idx="2">
                  <c:v>4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8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8</c:v>
                </c:pt>
                <c:pt idx="13">
                  <c:v>8</c:v>
                </c:pt>
                <c:pt idx="14">
                  <c:v>10</c:v>
                </c:pt>
                <c:pt idx="15">
                  <c:v>4</c:v>
                </c:pt>
                <c:pt idx="16">
                  <c:v>8</c:v>
                </c:pt>
                <c:pt idx="17">
                  <c:v>4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6</c:v>
                </c:pt>
                <c:pt idx="22">
                  <c:v>4</c:v>
                </c:pt>
                <c:pt idx="23">
                  <c:v>6</c:v>
                </c:pt>
                <c:pt idx="24">
                  <c:v>6</c:v>
                </c:pt>
                <c:pt idx="25">
                  <c:v>8</c:v>
                </c:pt>
                <c:pt idx="26">
                  <c:v>6</c:v>
                </c:pt>
                <c:pt idx="27">
                  <c:v>6</c:v>
                </c:pt>
                <c:pt idx="28">
                  <c:v>8</c:v>
                </c:pt>
                <c:pt idx="29">
                  <c:v>6</c:v>
                </c:pt>
                <c:pt idx="30">
                  <c:v>6</c:v>
                </c:pt>
                <c:pt idx="31">
                  <c:v>10</c:v>
                </c:pt>
                <c:pt idx="32">
                  <c:v>6</c:v>
                </c:pt>
                <c:pt idx="33">
                  <c:v>10</c:v>
                </c:pt>
                <c:pt idx="34">
                  <c:v>8</c:v>
                </c:pt>
                <c:pt idx="35">
                  <c:v>6</c:v>
                </c:pt>
                <c:pt idx="36">
                  <c:v>4</c:v>
                </c:pt>
                <c:pt idx="37">
                  <c:v>6</c:v>
                </c:pt>
                <c:pt idx="38">
                  <c:v>8</c:v>
                </c:pt>
                <c:pt idx="39">
                  <c:v>4</c:v>
                </c:pt>
                <c:pt idx="40">
                  <c:v>8</c:v>
                </c:pt>
                <c:pt idx="41">
                  <c:v>6</c:v>
                </c:pt>
                <c:pt idx="42">
                  <c:v>4</c:v>
                </c:pt>
                <c:pt idx="43">
                  <c:v>4</c:v>
                </c:pt>
                <c:pt idx="44">
                  <c:v>6</c:v>
                </c:pt>
                <c:pt idx="45">
                  <c:v>8</c:v>
                </c:pt>
                <c:pt idx="46">
                  <c:v>4</c:v>
                </c:pt>
                <c:pt idx="47">
                  <c:v>6</c:v>
                </c:pt>
                <c:pt idx="48">
                  <c:v>8</c:v>
                </c:pt>
                <c:pt idx="4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52-4FFA-92D4-A429DD30A92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'Problem Statement'!$B$2:$B$51</c:f>
              <c:numCache>
                <c:formatCode>General</c:formatCode>
                <c:ptCount val="50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0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0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  <c:pt idx="21">
                  <c:v>2</c:v>
                </c:pt>
                <c:pt idx="22">
                  <c:v>3</c:v>
                </c:pt>
                <c:pt idx="23">
                  <c:v>2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0</c:v>
                </c:pt>
                <c:pt idx="28">
                  <c:v>0</c:v>
                </c:pt>
                <c:pt idx="29">
                  <c:v>2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2</c:v>
                </c:pt>
                <c:pt idx="34">
                  <c:v>2</c:v>
                </c:pt>
                <c:pt idx="35">
                  <c:v>0</c:v>
                </c:pt>
                <c:pt idx="36">
                  <c:v>3</c:v>
                </c:pt>
                <c:pt idx="37">
                  <c:v>3</c:v>
                </c:pt>
                <c:pt idx="38">
                  <c:v>2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2</c:v>
                </c:pt>
                <c:pt idx="43">
                  <c:v>0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52-4FFA-92D4-A429DD30A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4020368"/>
        <c:axId val="484022528"/>
      </c:lineChart>
      <c:catAx>
        <c:axId val="484020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484022528"/>
        <c:crosses val="autoZero"/>
        <c:auto val="1"/>
        <c:lblAlgn val="ctr"/>
        <c:lblOffset val="100"/>
        <c:noMultiLvlLbl val="0"/>
      </c:catAx>
      <c:valAx>
        <c:axId val="48402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484020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903-442A-828E-8E3176798E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903-442A-828E-8E3176798EE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903-442A-828E-8E3176798EE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903-442A-828E-8E3176798EE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903-442A-828E-8E3176798EE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903-442A-828E-8E3176798EE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903-442A-828E-8E3176798EE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903-442A-828E-8E3176798EE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903-442A-828E-8E3176798EE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903-442A-828E-8E3176798EE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903-442A-828E-8E3176798EE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E903-442A-828E-8E3176798EE4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E903-442A-828E-8E3176798EE4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E903-442A-828E-8E3176798EE4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E903-442A-828E-8E3176798EE4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E903-442A-828E-8E3176798EE4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E903-442A-828E-8E3176798EE4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E903-442A-828E-8E3176798EE4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E903-442A-828E-8E3176798EE4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E903-442A-828E-8E3176798EE4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E903-442A-828E-8E3176798EE4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E903-442A-828E-8E3176798EE4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E903-442A-828E-8E3176798EE4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E903-442A-828E-8E3176798EE4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E903-442A-828E-8E3176798EE4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E903-442A-828E-8E3176798EE4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E903-442A-828E-8E3176798EE4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E903-442A-828E-8E3176798EE4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E903-442A-828E-8E3176798EE4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E903-442A-828E-8E3176798EE4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E903-442A-828E-8E3176798EE4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E903-442A-828E-8E3176798EE4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E903-442A-828E-8E3176798EE4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E903-442A-828E-8E3176798EE4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E903-442A-828E-8E3176798EE4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E903-442A-828E-8E3176798EE4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E903-442A-828E-8E3176798EE4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E903-442A-828E-8E3176798EE4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E903-442A-828E-8E3176798EE4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E903-442A-828E-8E3176798EE4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E903-442A-828E-8E3176798EE4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E903-442A-828E-8E3176798EE4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E903-442A-828E-8E3176798EE4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E903-442A-828E-8E3176798EE4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E903-442A-828E-8E3176798EE4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E903-442A-828E-8E3176798EE4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E903-442A-828E-8E3176798EE4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E903-442A-828E-8E3176798EE4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E903-442A-828E-8E3176798EE4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E903-442A-828E-8E3176798EE4}"/>
              </c:ext>
            </c:extLst>
          </c:dPt>
          <c:val>
            <c:numRef>
              <c:f>'Problem Statement'!$A$2:$A$51</c:f>
              <c:numCache>
                <c:formatCode>General</c:formatCode>
                <c:ptCount val="50"/>
                <c:pt idx="0">
                  <c:v>8</c:v>
                </c:pt>
                <c:pt idx="1">
                  <c:v>8</c:v>
                </c:pt>
                <c:pt idx="2">
                  <c:v>4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8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8</c:v>
                </c:pt>
                <c:pt idx="13">
                  <c:v>8</c:v>
                </c:pt>
                <c:pt idx="14">
                  <c:v>10</c:v>
                </c:pt>
                <c:pt idx="15">
                  <c:v>4</c:v>
                </c:pt>
                <c:pt idx="16">
                  <c:v>8</c:v>
                </c:pt>
                <c:pt idx="17">
                  <c:v>4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6</c:v>
                </c:pt>
                <c:pt idx="22">
                  <c:v>4</c:v>
                </c:pt>
                <c:pt idx="23">
                  <c:v>6</c:v>
                </c:pt>
                <c:pt idx="24">
                  <c:v>6</c:v>
                </c:pt>
                <c:pt idx="25">
                  <c:v>8</c:v>
                </c:pt>
                <c:pt idx="26">
                  <c:v>6</c:v>
                </c:pt>
                <c:pt idx="27">
                  <c:v>6</c:v>
                </c:pt>
                <c:pt idx="28">
                  <c:v>8</c:v>
                </c:pt>
                <c:pt idx="29">
                  <c:v>6</c:v>
                </c:pt>
                <c:pt idx="30">
                  <c:v>6</c:v>
                </c:pt>
                <c:pt idx="31">
                  <c:v>10</c:v>
                </c:pt>
                <c:pt idx="32">
                  <c:v>6</c:v>
                </c:pt>
                <c:pt idx="33">
                  <c:v>10</c:v>
                </c:pt>
                <c:pt idx="34">
                  <c:v>8</c:v>
                </c:pt>
                <c:pt idx="35">
                  <c:v>6</c:v>
                </c:pt>
                <c:pt idx="36">
                  <c:v>4</c:v>
                </c:pt>
                <c:pt idx="37">
                  <c:v>6</c:v>
                </c:pt>
                <c:pt idx="38">
                  <c:v>8</c:v>
                </c:pt>
                <c:pt idx="39">
                  <c:v>4</c:v>
                </c:pt>
                <c:pt idx="40">
                  <c:v>8</c:v>
                </c:pt>
                <c:pt idx="41">
                  <c:v>6</c:v>
                </c:pt>
                <c:pt idx="42">
                  <c:v>4</c:v>
                </c:pt>
                <c:pt idx="43">
                  <c:v>4</c:v>
                </c:pt>
                <c:pt idx="44">
                  <c:v>6</c:v>
                </c:pt>
                <c:pt idx="45">
                  <c:v>8</c:v>
                </c:pt>
                <c:pt idx="46">
                  <c:v>4</c:v>
                </c:pt>
                <c:pt idx="47">
                  <c:v>6</c:v>
                </c:pt>
                <c:pt idx="48">
                  <c:v>8</c:v>
                </c:pt>
                <c:pt idx="4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D6-41C2-97E3-D5920634F5A2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E903-442A-828E-8E3176798E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E903-442A-828E-8E3176798EE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E903-442A-828E-8E3176798EE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E903-442A-828E-8E3176798EE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E903-442A-828E-8E3176798EE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E903-442A-828E-8E3176798EE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E903-442A-828E-8E3176798EE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E903-442A-828E-8E3176798EE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E903-442A-828E-8E3176798EE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E903-442A-828E-8E3176798EE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E903-442A-828E-8E3176798EE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E903-442A-828E-8E3176798EE4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E903-442A-828E-8E3176798EE4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E903-442A-828E-8E3176798EE4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E903-442A-828E-8E3176798EE4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E903-442A-828E-8E3176798EE4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E903-442A-828E-8E3176798EE4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E903-442A-828E-8E3176798EE4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E903-442A-828E-8E3176798EE4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E903-442A-828E-8E3176798EE4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E903-442A-828E-8E3176798EE4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E903-442A-828E-8E3176798EE4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E903-442A-828E-8E3176798EE4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E903-442A-828E-8E3176798EE4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E903-442A-828E-8E3176798EE4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E903-442A-828E-8E3176798EE4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E903-442A-828E-8E3176798EE4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B-E903-442A-828E-8E3176798EE4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D-E903-442A-828E-8E3176798EE4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F-E903-442A-828E-8E3176798EE4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1-E903-442A-828E-8E3176798EE4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3-E903-442A-828E-8E3176798EE4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5-E903-442A-828E-8E3176798EE4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7-E903-442A-828E-8E3176798EE4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9-E903-442A-828E-8E3176798EE4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B-E903-442A-828E-8E3176798EE4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D-E903-442A-828E-8E3176798EE4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F-E903-442A-828E-8E3176798EE4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1-E903-442A-828E-8E3176798EE4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3-E903-442A-828E-8E3176798EE4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5-E903-442A-828E-8E3176798EE4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7-E903-442A-828E-8E3176798EE4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9-E903-442A-828E-8E3176798EE4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B-E903-442A-828E-8E3176798EE4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D-E903-442A-828E-8E3176798EE4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F-E903-442A-828E-8E3176798EE4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1-E903-442A-828E-8E3176798EE4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3-E903-442A-828E-8E3176798EE4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5-E903-442A-828E-8E3176798EE4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7-E903-442A-828E-8E3176798EE4}"/>
              </c:ext>
            </c:extLst>
          </c:dPt>
          <c:val>
            <c:numRef>
              <c:f>'Problem Statement'!$B$2:$B$51</c:f>
              <c:numCache>
                <c:formatCode>General</c:formatCode>
                <c:ptCount val="50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0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0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  <c:pt idx="21">
                  <c:v>2</c:v>
                </c:pt>
                <c:pt idx="22">
                  <c:v>3</c:v>
                </c:pt>
                <c:pt idx="23">
                  <c:v>2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0</c:v>
                </c:pt>
                <c:pt idx="28">
                  <c:v>0</c:v>
                </c:pt>
                <c:pt idx="29">
                  <c:v>2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2</c:v>
                </c:pt>
                <c:pt idx="34">
                  <c:v>2</c:v>
                </c:pt>
                <c:pt idx="35">
                  <c:v>0</c:v>
                </c:pt>
                <c:pt idx="36">
                  <c:v>3</c:v>
                </c:pt>
                <c:pt idx="37">
                  <c:v>3</c:v>
                </c:pt>
                <c:pt idx="38">
                  <c:v>2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2</c:v>
                </c:pt>
                <c:pt idx="43">
                  <c:v>0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D6-41C2-97E3-D5920634F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B05-45F0-874A-72E34E88B5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B05-45F0-874A-72E34E88B53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B05-45F0-874A-72E34E88B53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B05-45F0-874A-72E34E88B53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B05-45F0-874A-72E34E88B53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B05-45F0-874A-72E34E88B53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B05-45F0-874A-72E34E88B53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B05-45F0-874A-72E34E88B53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B05-45F0-874A-72E34E88B53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B05-45F0-874A-72E34E88B53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B05-45F0-874A-72E34E88B53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AB05-45F0-874A-72E34E88B53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AB05-45F0-874A-72E34E88B53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AB05-45F0-874A-72E34E88B53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AB05-45F0-874A-72E34E88B53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AB05-45F0-874A-72E34E88B53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AB05-45F0-874A-72E34E88B53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AB05-45F0-874A-72E34E88B539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AB05-45F0-874A-72E34E88B539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AB05-45F0-874A-72E34E88B539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AB05-45F0-874A-72E34E88B539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AB05-45F0-874A-72E34E88B539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AB05-45F0-874A-72E34E88B539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AB05-45F0-874A-72E34E88B539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AB05-45F0-874A-72E34E88B539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AB05-45F0-874A-72E34E88B539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AB05-45F0-874A-72E34E88B539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AB05-45F0-874A-72E34E88B539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AB05-45F0-874A-72E34E88B539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AB05-45F0-874A-72E34E88B539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AB05-45F0-874A-72E34E88B539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AB05-45F0-874A-72E34E88B539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AB05-45F0-874A-72E34E88B539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AB05-45F0-874A-72E34E88B539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AB05-45F0-874A-72E34E88B539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AB05-45F0-874A-72E34E88B539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AB05-45F0-874A-72E34E88B539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AB05-45F0-874A-72E34E88B539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AB05-45F0-874A-72E34E88B539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AB05-45F0-874A-72E34E88B539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AB05-45F0-874A-72E34E88B539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AB05-45F0-874A-72E34E88B539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AB05-45F0-874A-72E34E88B539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AB05-45F0-874A-72E34E88B539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AB05-45F0-874A-72E34E88B539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AB05-45F0-874A-72E34E88B539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AB05-45F0-874A-72E34E88B539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AB05-45F0-874A-72E34E88B539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AB05-45F0-874A-72E34E88B539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AB05-45F0-874A-72E34E88B539}"/>
              </c:ext>
            </c:extLst>
          </c:dPt>
          <c:cat>
            <c:numRef>
              <c:f>'Problem Statement'!$A$2:$A$51</c:f>
              <c:numCache>
                <c:formatCode>General</c:formatCode>
                <c:ptCount val="50"/>
                <c:pt idx="0">
                  <c:v>8</c:v>
                </c:pt>
                <c:pt idx="1">
                  <c:v>8</c:v>
                </c:pt>
                <c:pt idx="2">
                  <c:v>4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8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8</c:v>
                </c:pt>
                <c:pt idx="13">
                  <c:v>8</c:v>
                </c:pt>
                <c:pt idx="14">
                  <c:v>10</c:v>
                </c:pt>
                <c:pt idx="15">
                  <c:v>4</c:v>
                </c:pt>
                <c:pt idx="16">
                  <c:v>8</c:v>
                </c:pt>
                <c:pt idx="17">
                  <c:v>4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6</c:v>
                </c:pt>
                <c:pt idx="22">
                  <c:v>4</c:v>
                </c:pt>
                <c:pt idx="23">
                  <c:v>6</c:v>
                </c:pt>
                <c:pt idx="24">
                  <c:v>6</c:v>
                </c:pt>
                <c:pt idx="25">
                  <c:v>8</c:v>
                </c:pt>
                <c:pt idx="26">
                  <c:v>6</c:v>
                </c:pt>
                <c:pt idx="27">
                  <c:v>6</c:v>
                </c:pt>
                <c:pt idx="28">
                  <c:v>8</c:v>
                </c:pt>
                <c:pt idx="29">
                  <c:v>6</c:v>
                </c:pt>
                <c:pt idx="30">
                  <c:v>6</c:v>
                </c:pt>
                <c:pt idx="31">
                  <c:v>10</c:v>
                </c:pt>
                <c:pt idx="32">
                  <c:v>6</c:v>
                </c:pt>
                <c:pt idx="33">
                  <c:v>10</c:v>
                </c:pt>
                <c:pt idx="34">
                  <c:v>8</c:v>
                </c:pt>
                <c:pt idx="35">
                  <c:v>6</c:v>
                </c:pt>
                <c:pt idx="36">
                  <c:v>4</c:v>
                </c:pt>
                <c:pt idx="37">
                  <c:v>6</c:v>
                </c:pt>
                <c:pt idx="38">
                  <c:v>8</c:v>
                </c:pt>
                <c:pt idx="39">
                  <c:v>4</c:v>
                </c:pt>
                <c:pt idx="40">
                  <c:v>8</c:v>
                </c:pt>
                <c:pt idx="41">
                  <c:v>6</c:v>
                </c:pt>
                <c:pt idx="42">
                  <c:v>4</c:v>
                </c:pt>
                <c:pt idx="43">
                  <c:v>4</c:v>
                </c:pt>
                <c:pt idx="44">
                  <c:v>6</c:v>
                </c:pt>
                <c:pt idx="45">
                  <c:v>8</c:v>
                </c:pt>
                <c:pt idx="46">
                  <c:v>4</c:v>
                </c:pt>
                <c:pt idx="47">
                  <c:v>6</c:v>
                </c:pt>
                <c:pt idx="48">
                  <c:v>8</c:v>
                </c:pt>
                <c:pt idx="49">
                  <c:v>10</c:v>
                </c:pt>
              </c:numCache>
            </c:numRef>
          </c:cat>
          <c:val>
            <c:numRef>
              <c:f>'Problem Statement'!$B$2:$B$51</c:f>
              <c:numCache>
                <c:formatCode>General</c:formatCode>
                <c:ptCount val="50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0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0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  <c:pt idx="21">
                  <c:v>2</c:v>
                </c:pt>
                <c:pt idx="22">
                  <c:v>3</c:v>
                </c:pt>
                <c:pt idx="23">
                  <c:v>2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0</c:v>
                </c:pt>
                <c:pt idx="28">
                  <c:v>0</c:v>
                </c:pt>
                <c:pt idx="29">
                  <c:v>2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2</c:v>
                </c:pt>
                <c:pt idx="34">
                  <c:v>2</c:v>
                </c:pt>
                <c:pt idx="35">
                  <c:v>0</c:v>
                </c:pt>
                <c:pt idx="36">
                  <c:v>3</c:v>
                </c:pt>
                <c:pt idx="37">
                  <c:v>3</c:v>
                </c:pt>
                <c:pt idx="38">
                  <c:v>2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2</c:v>
                </c:pt>
                <c:pt idx="43">
                  <c:v>0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10-48C6-92BB-5E7F1AAA5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'Problem Statement'!$A$2:$A$51</c:f>
              <c:numCache>
                <c:formatCode>General</c:formatCode>
                <c:ptCount val="50"/>
                <c:pt idx="0">
                  <c:v>8</c:v>
                </c:pt>
                <c:pt idx="1">
                  <c:v>8</c:v>
                </c:pt>
                <c:pt idx="2">
                  <c:v>4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8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8</c:v>
                </c:pt>
                <c:pt idx="13">
                  <c:v>8</c:v>
                </c:pt>
                <c:pt idx="14">
                  <c:v>10</c:v>
                </c:pt>
                <c:pt idx="15">
                  <c:v>4</c:v>
                </c:pt>
                <c:pt idx="16">
                  <c:v>8</c:v>
                </c:pt>
                <c:pt idx="17">
                  <c:v>4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6</c:v>
                </c:pt>
                <c:pt idx="22">
                  <c:v>4</c:v>
                </c:pt>
                <c:pt idx="23">
                  <c:v>6</c:v>
                </c:pt>
                <c:pt idx="24">
                  <c:v>6</c:v>
                </c:pt>
                <c:pt idx="25">
                  <c:v>8</c:v>
                </c:pt>
                <c:pt idx="26">
                  <c:v>6</c:v>
                </c:pt>
                <c:pt idx="27">
                  <c:v>6</c:v>
                </c:pt>
                <c:pt idx="28">
                  <c:v>8</c:v>
                </c:pt>
                <c:pt idx="29">
                  <c:v>6</c:v>
                </c:pt>
                <c:pt idx="30">
                  <c:v>6</c:v>
                </c:pt>
                <c:pt idx="31">
                  <c:v>10</c:v>
                </c:pt>
                <c:pt idx="32">
                  <c:v>6</c:v>
                </c:pt>
                <c:pt idx="33">
                  <c:v>10</c:v>
                </c:pt>
                <c:pt idx="34">
                  <c:v>8</c:v>
                </c:pt>
                <c:pt idx="35">
                  <c:v>6</c:v>
                </c:pt>
                <c:pt idx="36">
                  <c:v>4</c:v>
                </c:pt>
                <c:pt idx="37">
                  <c:v>6</c:v>
                </c:pt>
                <c:pt idx="38">
                  <c:v>8</c:v>
                </c:pt>
                <c:pt idx="39">
                  <c:v>4</c:v>
                </c:pt>
                <c:pt idx="40">
                  <c:v>8</c:v>
                </c:pt>
                <c:pt idx="41">
                  <c:v>6</c:v>
                </c:pt>
                <c:pt idx="42">
                  <c:v>4</c:v>
                </c:pt>
                <c:pt idx="43">
                  <c:v>4</c:v>
                </c:pt>
                <c:pt idx="44">
                  <c:v>6</c:v>
                </c:pt>
                <c:pt idx="45">
                  <c:v>8</c:v>
                </c:pt>
                <c:pt idx="46">
                  <c:v>4</c:v>
                </c:pt>
                <c:pt idx="47">
                  <c:v>6</c:v>
                </c:pt>
                <c:pt idx="48">
                  <c:v>8</c:v>
                </c:pt>
                <c:pt idx="4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A1-4569-A8C1-CFCAC60A403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'Problem Statement'!$B$2:$B$51</c:f>
              <c:numCache>
                <c:formatCode>General</c:formatCode>
                <c:ptCount val="50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0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0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  <c:pt idx="21">
                  <c:v>2</c:v>
                </c:pt>
                <c:pt idx="22">
                  <c:v>3</c:v>
                </c:pt>
                <c:pt idx="23">
                  <c:v>2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0</c:v>
                </c:pt>
                <c:pt idx="28">
                  <c:v>0</c:v>
                </c:pt>
                <c:pt idx="29">
                  <c:v>2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2</c:v>
                </c:pt>
                <c:pt idx="34">
                  <c:v>2</c:v>
                </c:pt>
                <c:pt idx="35">
                  <c:v>0</c:v>
                </c:pt>
                <c:pt idx="36">
                  <c:v>3</c:v>
                </c:pt>
                <c:pt idx="37">
                  <c:v>3</c:v>
                </c:pt>
                <c:pt idx="38">
                  <c:v>2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2</c:v>
                </c:pt>
                <c:pt idx="43">
                  <c:v>0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A1-4569-A8C1-CFCAC60A4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9362464"/>
        <c:axId val="769367504"/>
      </c:barChart>
      <c:catAx>
        <c:axId val="76936246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769367504"/>
        <c:crosses val="autoZero"/>
        <c:auto val="1"/>
        <c:lblAlgn val="ctr"/>
        <c:lblOffset val="100"/>
        <c:noMultiLvlLbl val="0"/>
      </c:catAx>
      <c:valAx>
        <c:axId val="769367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76936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Age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Age</a:t>
          </a:r>
        </a:p>
      </cx:txPr>
    </cx:title>
    <cx:plotArea>
      <cx:plotAreaRegion>
        <cx:series layoutId="clusteredColumn" uniqueId="{664E9D3A-16C3-4E7A-A3D3-C351ABF91C97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Box Plot (Age)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baseline="0">
              <a:solidFill>
                <a:srgbClr val="000000">
                  <a:lumMod val="75000"/>
                  <a:lumOff val="25000"/>
                </a:srgbClr>
              </a:solidFill>
              <a:latin typeface="Arial"/>
              <a:cs typeface="Arial"/>
            </a:rPr>
            <a:t>Box Plot (Age)</a:t>
          </a:r>
        </a:p>
      </cx:txPr>
    </cx:title>
    <cx:plotArea>
      <cx:plotAreaRegion>
        <cx:series layoutId="boxWhisker" uniqueId="{5F225246-0C77-470C-9960-D53E90B8957E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Sleep Hours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Sleep Hours</a:t>
          </a:r>
        </a:p>
      </cx:txPr>
    </cx:title>
    <cx:plotArea>
      <cx:plotAreaRegion>
        <cx:series layoutId="clusteredColumn" uniqueId="{BDB93554-C01B-4770-BEF6-9882EC72E121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txData>
          <cx:v>Study Hours Per Week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Study Hours Per Week </a:t>
          </a:r>
        </a:p>
      </cx:txPr>
    </cx:title>
    <cx:plotArea>
      <cx:plotAreaRegion>
        <cx:series layoutId="clusteredColumn" uniqueId="{87D07F8C-58D2-46D1-9F0D-D52F95902C8F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Breaks During a Study Session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Breaks During a Study Session</a:t>
          </a:r>
        </a:p>
      </cx:txPr>
    </cx:title>
    <cx:plotArea>
      <cx:plotAreaRegion>
        <cx:series layoutId="clusteredColumn" uniqueId="{5288D265-69F6-42D5-A142-C6EB635064F3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</cx:f>
      </cx:numDim>
    </cx:data>
  </cx:chartData>
  <cx:chart>
    <cx:title pos="t" align="ctr" overlay="0">
      <cx:tx>
        <cx:txData>
          <cx:v>Use of Digital Screen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Use of Digital Screen</a:t>
          </a:r>
        </a:p>
      </cx:txPr>
    </cx:title>
    <cx:plotArea>
      <cx:plotAreaRegion>
        <cx:series layoutId="clusteredColumn" uniqueId="{62C6073A-1A41-4DB8-8420-2275DDEA914E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Classes Attend Per Day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Classes Attend Per Day</a:t>
          </a:r>
        </a:p>
      </cx:txPr>
    </cx:title>
    <cx:plotArea>
      <cx:plotAreaRegion>
        <cx:series layoutId="clusteredColumn" uniqueId="{29339CEA-D6F2-4FC6-9F3A-2E4A77506A78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>
      <cx:tx>
        <cx:txData>
          <cx:v>Assignment Submitions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Assignment Submitions</a:t>
          </a:r>
        </a:p>
      </cx:txPr>
    </cx:title>
    <cx:plotArea>
      <cx:plotAreaRegion>
        <cx:series layoutId="clusteredColumn" uniqueId="{CCCFB93B-D739-4D2A-B27C-3C73E8702115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Academic Workload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Academic Workload</a:t>
          </a:r>
        </a:p>
      </cx:txPr>
    </cx:title>
    <cx:plotArea>
      <cx:plotAreaRegion>
        <cx:series layoutId="clusteredColumn" uniqueId="{936C3D68-FCBD-4600-83A9-E214AC81D19D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Mental Health Counselling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Mental Health Counselling</a:t>
          </a:r>
        </a:p>
      </cx:txPr>
    </cx:title>
    <cx:plotArea>
      <cx:plotAreaRegion>
        <cx:series layoutId="clusteredColumn" uniqueId="{FC16D520-6E90-4012-A301-0B43E0A68B5E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</cx:f>
      </cx:numDim>
    </cx:data>
  </cx:chartData>
  <cx:chart>
    <cx:title pos="t" align="ctr" overlay="0">
      <cx:tx>
        <cx:txData>
          <cx:v>Rest Days Per Month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Rest Days Per Month</a:t>
          </a:r>
        </a:p>
      </cx:txPr>
    </cx:title>
    <cx:plotArea>
      <cx:plotAreaRegion>
        <cx:series layoutId="clusteredColumn" uniqueId="{BFAAB7FD-6134-4671-931F-571614EC8D95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Sleep Hours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Sleep Hours</a:t>
          </a:r>
        </a:p>
      </cx:txPr>
    </cx:title>
    <cx:plotArea>
      <cx:plotAreaRegion>
        <cx:series layoutId="boxWhisker" uniqueId="{D4B608A6-EBE9-48B9-AD6A-CF2BC57C7A48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_xlchart.v1.12</cx:f>
      </cx:numDim>
    </cx:data>
  </cx:chartData>
  <cx:chart>
    <cx:title pos="t" align="ctr" overlay="0">
      <cx:tx>
        <cx:txData>
          <cx:v>Study Hours Per Week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Study Hours Per Week</a:t>
          </a:r>
        </a:p>
      </cx:txPr>
    </cx:title>
    <cx:plotArea>
      <cx:plotAreaRegion>
        <cx:series layoutId="boxWhisker" uniqueId="{C612554F-30F5-43A1-AF0F-CFD2722BAC99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_xlchart.v1.17</cx:f>
      </cx:numDim>
    </cx:data>
  </cx:chartData>
  <cx:chart>
    <cx:title pos="t" align="ctr" overlay="0">
      <cx:tx>
        <cx:txData>
          <cx:v>Breaks During a Study Session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Breaks During a Study Session</a:t>
          </a:r>
        </a:p>
      </cx:txPr>
    </cx:title>
    <cx:plotArea>
      <cx:plotAreaRegion>
        <cx:series layoutId="boxWhisker" uniqueId="{FE4D3EDD-1CBE-4606-AF5C-5B1E136E495A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</cx:chartData>
  <cx:chart>
    <cx:title pos="t" align="ctr" overlay="0">
      <cx:tx>
        <cx:txData>
          <cx:v>Classes Attend Per Week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Classes Attend Per Week</a:t>
          </a:r>
        </a:p>
      </cx:txPr>
    </cx:title>
    <cx:plotArea>
      <cx:plotAreaRegion>
        <cx:series layoutId="boxWhisker" uniqueId="{42DD4783-F088-4623-8E22-85CAA93CFF27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_xlchart.v1.18</cx:f>
      </cx:numDim>
    </cx:data>
  </cx:chartData>
  <cx:chart>
    <cx:title pos="t" align="ctr" overlay="0">
      <cx:tx>
        <cx:txData>
          <cx:v>Use of Digital Screen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Use of Digital Screen</a:t>
          </a:r>
        </a:p>
      </cx:txPr>
    </cx:title>
    <cx:plotArea>
      <cx:plotAreaRegion>
        <cx:series layoutId="boxWhisker" uniqueId="{B548D987-CDCC-49EB-AA89-D3C316951891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_xlchart.v1.19</cx:f>
      </cx:numDim>
    </cx:data>
  </cx:chartData>
  <cx:chart>
    <cx:title pos="t" align="ctr" overlay="0">
      <cx:tx>
        <cx:txData>
          <cx:v>Assignment Submitions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Assignment Submitions</a:t>
          </a:r>
        </a:p>
      </cx:txPr>
    </cx:title>
    <cx:plotArea>
      <cx:plotAreaRegion>
        <cx:series layoutId="boxWhisker" uniqueId="{779BB8B9-7E67-4276-8EA2-2079F21F1CBB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_xlchart.v1.16</cx:f>
      </cx:numDim>
    </cx:data>
  </cx:chartData>
  <cx:chart>
    <cx:title pos="t" align="ctr" overlay="0">
      <cx:tx>
        <cx:txData>
          <cx:v>Academic Workload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Academic Workload</a:t>
          </a:r>
        </a:p>
      </cx:txPr>
    </cx:title>
    <cx:plotArea>
      <cx:plotAreaRegion>
        <cx:series layoutId="boxWhisker" uniqueId="{8931C493-4AE5-497D-B075-D0EECAFBF792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800" b="0" i="0" baseline="0">
                <a:effectLst/>
              </a:rPr>
              <a:t>Mental Health Counselling</a:t>
            </a:r>
            <a:endParaRPr lang="en-PK" sz="1400">
              <a:effectLst/>
            </a:endParaRPr>
          </a:p>
        </cx:rich>
      </cx:tx>
    </cx:title>
    <cx:plotArea>
      <cx:plotAreaRegion>
        <cx:series layoutId="boxWhisker" uniqueId="{DA1CE680-4902-47CE-B8E0-2F3CD07C6891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_xlchart.v1.14</cx:f>
      </cx:numDim>
    </cx:data>
  </cx:chartData>
  <cx:chart>
    <cx:title pos="t" align="ctr" overlay="0">
      <cx:tx>
        <cx:txData>
          <cx:v>Rest Days Per Month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Rest Days Per Month</a:t>
          </a:r>
        </a:p>
      </cx:txPr>
    </cx:title>
    <cx:plotArea>
      <cx:plotAreaRegion>
        <cx:series layoutId="boxWhisker" uniqueId="{43252E05-E967-4C64-96A1-E51464C48DED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_xlchart.v1.28</cx:f>
      </cx:numDim>
    </cx:data>
  </cx:chartData>
  <cx:chart>
    <cx:title pos="t" align="ctr" overlay="0">
      <cx:tx>
        <cx:txData>
          <cx:v>Stress During Final Weeks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Stress During Final Weeks</a:t>
          </a:r>
        </a:p>
      </cx:txPr>
    </cx:title>
    <cx:plotArea>
      <cx:plotAreaRegion>
        <cx:series layoutId="clusteredColumn" uniqueId="{22584F9F-D095-48DC-90C8-25CFA4848FD8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_xlchart.v1.26</cx:f>
      </cx:numDim>
    </cx:data>
  </cx:chartData>
  <cx:chart>
    <cx:title pos="t" align="ctr" overlay="0">
      <cx:tx>
        <cx:txData>
          <cx:v>Rating of Anxious Feeling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Rating of Anxious Feeling</a:t>
          </a:r>
        </a:p>
      </cx:txPr>
    </cx:title>
    <cx:plotArea>
      <cx:plotAreaRegion>
        <cx:series layoutId="clusteredColumn" uniqueId="{C6148C81-9EEC-4D90-9E7D-81B952925B2E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_xlchart.v1.27</cx:f>
      </cx:numDim>
    </cx:data>
  </cx:chartData>
  <cx:chart>
    <cx:title pos="t" align="ctr" overlay="0">
      <cx:tx>
        <cx:txData>
          <cx:v>Burnout Experience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Burnout Experience</a:t>
          </a:r>
        </a:p>
      </cx:txPr>
    </cx:title>
    <cx:plotArea>
      <cx:plotAreaRegion>
        <cx:series layoutId="clusteredColumn" uniqueId="{25C3206B-E544-4C77-A96F-E2690018CCDB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_xlchart.v1.31</cx:f>
      </cx:numDim>
    </cx:data>
  </cx:chartData>
  <cx:chart>
    <cx:title pos="t" align="ctr" overlay="0">
      <cx:tx>
        <cx:txData>
          <cx:v>Academic Performance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Academic Performance</a:t>
          </a:r>
        </a:p>
      </cx:txPr>
    </cx:title>
    <cx:plotArea>
      <cx:plotAreaRegion>
        <cx:series layoutId="clusteredColumn" uniqueId="{0C31ABF0-C1B5-4A26-83E1-2460BC454A84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_xlchart.v1.29</cx:f>
      </cx:numDim>
    </cx:data>
  </cx:chartData>
  <cx:chart>
    <cx:title pos="t" align="ctr" overlay="0">
      <cx:tx>
        <cx:txData>
          <cx:v>Rates of Stress Management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Rates of Stress Management</a:t>
          </a:r>
        </a:p>
      </cx:txPr>
    </cx:title>
    <cx:plotArea>
      <cx:plotAreaRegion>
        <cx:series layoutId="clusteredColumn" uniqueId="{BAD861C6-780E-4003-B51C-95F30EE02FB5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_xlchart.v1.34</cx:f>
      </cx:numDim>
    </cx:data>
  </cx:chartData>
  <cx:chart>
    <cx:title pos="t" align="ctr" overlay="0">
      <cx:tx>
        <cx:txData>
          <cx:v>Emotional Well-Being Rating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Emotional Well-Being Rating</a:t>
          </a:r>
        </a:p>
      </cx:txPr>
    </cx:title>
    <cx:plotArea>
      <cx:plotAreaRegion>
        <cx:series layoutId="clusteredColumn" uniqueId="{15F00AAC-A00E-4AA1-9DC2-5492DE1C534C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_xlchart.v1.30</cx:f>
      </cx:numDim>
    </cx:data>
  </cx:chartData>
  <cx:chart>
    <cx:title pos="t" align="ctr" overlay="0">
      <cx:tx>
        <cx:txData>
          <cx:v>High Energy Levels During Semester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High Energy Levels During Semester</a:t>
          </a:r>
        </a:p>
      </cx:txPr>
    </cx:title>
    <cx:plotArea>
      <cx:plotAreaRegion>
        <cx:series layoutId="clusteredColumn" uniqueId="{D81C7A32-6FA3-4F9B-884D-81C3B9F85C1D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_xlchart.v1.32</cx:f>
      </cx:numDim>
    </cx:data>
  </cx:chartData>
  <cx:chart>
    <cx:title pos="t" align="ctr" overlay="0">
      <cx:tx>
        <cx:txData>
          <cx:v>Concentration on Tasks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Concentration on Tasks</a:t>
          </a:r>
        </a:p>
      </cx:txPr>
    </cx:title>
    <cx:plotArea>
      <cx:plotAreaRegion>
        <cx:series layoutId="clusteredColumn" uniqueId="{BF2CD885-21E7-45B2-862E-8875438AE301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_xlchart.v1.33</cx:f>
      </cx:numDim>
    </cx:data>
  </cx:chartData>
  <cx:chart>
    <cx:title pos="t" align="ctr" overlay="0">
      <cx:tx>
        <cx:txData>
          <cx:v>Sleep Hours During Exam Periods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Sleep Hours During Exam Periods</a:t>
          </a:r>
        </a:p>
      </cx:txPr>
    </cx:title>
    <cx:plotArea>
      <cx:plotAreaRegion>
        <cx:series layoutId="clusteredColumn" uniqueId="{32608517-7B96-47EC-ABE7-C291DFD941D7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_xlchart.v1.22</cx:f>
      </cx:numDim>
    </cx:data>
  </cx:chartData>
  <cx:chart>
    <cx:title pos="t" align="ctr" overlay="0">
      <cx:tx>
        <cx:txData>
          <cx:v>Mental Health Support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Mental Health Support</a:t>
          </a:r>
        </a:p>
      </cx:txPr>
    </cx:title>
    <cx:plotArea>
      <cx:plotAreaRegion>
        <cx:series layoutId="clusteredColumn" uniqueId="{3F15E1BF-A228-40CC-A86E-915E01EA3041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_xlchart.v1.23</cx:f>
      </cx:numDim>
    </cx:data>
  </cx:chartData>
  <cx:chart>
    <cx:title pos="t" align="ctr" overlay="0">
      <cx:tx>
        <cx:txData>
          <cx:v>Stress During Final Weeks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Stress During Final Weeks</a:t>
          </a:r>
        </a:p>
      </cx:txPr>
    </cx:title>
    <cx:plotArea>
      <cx:plotAreaRegion>
        <cx:series layoutId="boxWhisker" uniqueId="{99D51922-8F17-4D9D-AB65-160758012D74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_xlchart.v1.20</cx:f>
      </cx:numDim>
    </cx:data>
  </cx:chartData>
  <cx:chart>
    <cx:title pos="t" align="ctr" overlay="0">
      <cx:tx>
        <cx:txData>
          <cx:v>Rating of Feeling Anxious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Rating of Feeling Anxious</a:t>
          </a:r>
        </a:p>
      </cx:txPr>
    </cx:title>
    <cx:plotArea>
      <cx:plotAreaRegion>
        <cx:series layoutId="boxWhisker" uniqueId="{7E5ED9BF-D4A7-463D-8F91-2092D585BCE5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_xlchart.v1.24</cx:f>
      </cx:numDim>
    </cx:data>
  </cx:chartData>
  <cx:chart>
    <cx:title pos="t" align="ctr" overlay="0">
      <cx:tx>
        <cx:txData>
          <cx:v>Burnout Experience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Burnout Experience</a:t>
          </a:r>
        </a:p>
      </cx:txPr>
    </cx:title>
    <cx:plotArea>
      <cx:plotAreaRegion>
        <cx:series layoutId="boxWhisker" uniqueId="{0BE45AF3-F2DF-4484-8D2F-89CC0B7FB6B2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_xlchart.v1.21</cx:f>
      </cx:numDim>
    </cx:data>
  </cx:chartData>
  <cx:chart>
    <cx:title pos="t" align="ctr" overlay="0">
      <cx:tx>
        <cx:txData>
          <cx:v>Academic Performance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Academic Performance</a:t>
          </a:r>
        </a:p>
      </cx:txPr>
    </cx:title>
    <cx:plotArea>
      <cx:plotAreaRegion>
        <cx:series layoutId="boxWhisker" uniqueId="{2F772F3D-48A9-4EF9-8228-425EEFC3B45D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_xlchart.v1.35</cx:f>
      </cx:numDim>
    </cx:data>
  </cx:chartData>
  <cx:chart>
    <cx:title pos="t" align="ctr" overlay="0">
      <cx:tx>
        <cx:txData>
          <cx:v>Rates of Stress Management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Rates of Stress Management</a:t>
          </a:r>
        </a:p>
      </cx:txPr>
    </cx:title>
    <cx:plotArea>
      <cx:plotAreaRegion>
        <cx:series layoutId="boxWhisker" uniqueId="{28194EED-0721-4A1C-8BE0-F702A63C12A3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_xlchart.v1.36</cx:f>
      </cx:numDim>
    </cx:data>
  </cx:chartData>
  <cx:chart>
    <cx:title pos="t" align="ctr" overlay="0">
      <cx:tx>
        <cx:txData>
          <cx:v>Emotional Well-Being Rating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Emotional Well-Being Rating</a:t>
          </a:r>
        </a:p>
      </cx:txPr>
    </cx:title>
    <cx:plotArea>
      <cx:plotAreaRegion>
        <cx:series layoutId="boxWhisker" uniqueId="{3A6CEBA8-9AD4-4953-B952-FA05D87007D7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_xlchart.v1.37</cx:f>
      </cx:numDim>
    </cx:data>
  </cx:chartData>
  <cx:chart>
    <cx:title pos="t" align="ctr" overlay="0">
      <cx:tx>
        <cx:txData>
          <cx:v>High Energy Levels During Semester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High Energy Levels During Semester </a:t>
          </a:r>
        </a:p>
      </cx:txPr>
    </cx:title>
    <cx:plotArea>
      <cx:plotAreaRegion>
        <cx:series layoutId="boxWhisker" uniqueId="{FCF22C6A-33D9-49EC-9B25-ED3D6C27494F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_xlchart.v1.38</cx:f>
      </cx:numDim>
    </cx:data>
  </cx:chartData>
  <cx:chart>
    <cx:title pos="t" align="ctr" overlay="0">
      <cx:tx>
        <cx:txData>
          <cx:v>Concentration on Tasks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Concentration on Tasks </a:t>
          </a:r>
        </a:p>
      </cx:txPr>
    </cx:title>
    <cx:plotArea>
      <cx:plotAreaRegion>
        <cx:series layoutId="boxWhisker" uniqueId="{5C99B403-A6DB-425F-A9F9-650E5566BCD1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_xlchart.v1.39</cx:f>
      </cx:numDim>
    </cx:data>
  </cx:chartData>
  <cx:chart>
    <cx:title pos="t" align="ctr" overlay="0">
      <cx:tx>
        <cx:txData>
          <cx:v>Sleep Hours During Exams Periods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Sleep Hours During Exams Periods</a:t>
          </a:r>
        </a:p>
      </cx:txPr>
    </cx:title>
    <cx:plotArea>
      <cx:plotAreaRegion>
        <cx:series layoutId="boxWhisker" uniqueId="{793D157A-7A20-4CF2-85C0-3B25BF9E7683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_xlchart.v1.25</cx:f>
      </cx:numDim>
    </cx:data>
  </cx:chartData>
  <cx:chart>
    <cx:title pos="t" align="ctr" overlay="0">
      <cx:tx>
        <cx:txData>
          <cx:v>Mental Health Support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Mental Health Support</a:t>
          </a:r>
        </a:p>
      </cx:txPr>
    </cx:title>
    <cx:plotArea>
      <cx:plotAreaRegion>
        <cx:series layoutId="boxWhisker" uniqueId="{623E9D7C-CDAA-483B-A69F-E307D6471CB3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_xlchart.v1.40</cx:f>
      </cx:numDim>
    </cx:data>
    <cx:data id="1">
      <cx:numDim type="val">
        <cx:f>_xlchart.v1.41</cx:f>
      </cx:numDim>
    </cx:data>
  </cx:chartData>
  <cx:chart>
    <cx:title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1400" b="0" i="0" u="none" strike="noStrike" baseline="0">
            <a:solidFill>
              <a:srgbClr val="000000">
                <a:lumMod val="65000"/>
                <a:lumOff val="35000"/>
              </a:srgbClr>
            </a:solidFill>
            <a:latin typeface="Arial"/>
            <a:cs typeface="Arial"/>
          </a:endParaRPr>
        </a:p>
      </cx:txPr>
    </cx:title>
    <cx:plotArea>
      <cx:plotAreaRegion>
        <cx:series layoutId="clusteredColumn" uniqueId="{E6C85BA6-DA43-40F6-AAA0-C182A6FA2A56}" formatIdx="0">
          <cx:dataId val="0"/>
          <cx:layoutPr>
            <cx:binning intervalClosed="r"/>
          </cx:layoutPr>
        </cx:series>
        <cx:series layoutId="clusteredColumn" hidden="1" uniqueId="{134F2CB7-F13B-49B1-B111-5EFF24855969}" formatIdx="1">
          <cx:dataId val="1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_xlchart.v1.42</cx:f>
      </cx:numDim>
    </cx:data>
    <cx:data id="1">
      <cx:numDim type="val">
        <cx:f>_xlchart.v1.43</cx:f>
      </cx:numDim>
    </cx:data>
  </cx:chartData>
  <cx:chart>
    <cx:title pos="t" align="ctr" overlay="0">
      <cx:tx>
        <cx:txData>
          <cx:v/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1400" b="0" i="0" u="none" strike="noStrike" baseline="0">
            <a:solidFill>
              <a:srgbClr val="000000">
                <a:lumMod val="65000"/>
                <a:lumOff val="35000"/>
              </a:srgbClr>
            </a:solidFill>
            <a:latin typeface="Arial"/>
            <a:cs typeface="Arial"/>
          </a:endParaRPr>
        </a:p>
      </cx:txPr>
    </cx:title>
    <cx:plotArea>
      <cx:plotAreaRegion>
        <cx:series layoutId="boxWhisker" uniqueId="{418BCBAA-EB79-44CB-84A8-578D3BF4AB8A}"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F7E519F-FB3A-4014-AED8-EE4BF60A68B1}"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8.xml"/><Relationship Id="rId13" Type="http://schemas.microsoft.com/office/2014/relationships/chartEx" Target="../charts/chartEx13.xml"/><Relationship Id="rId18" Type="http://schemas.microsoft.com/office/2014/relationships/chartEx" Target="../charts/chartEx18.xml"/><Relationship Id="rId26" Type="http://schemas.openxmlformats.org/officeDocument/2006/relationships/chart" Target="../charts/chart6.xml"/><Relationship Id="rId3" Type="http://schemas.microsoft.com/office/2014/relationships/chartEx" Target="../charts/chartEx3.xml"/><Relationship Id="rId21" Type="http://schemas.openxmlformats.org/officeDocument/2006/relationships/chart" Target="../charts/chart1.xml"/><Relationship Id="rId7" Type="http://schemas.microsoft.com/office/2014/relationships/chartEx" Target="../charts/chartEx7.xml"/><Relationship Id="rId12" Type="http://schemas.microsoft.com/office/2014/relationships/chartEx" Target="../charts/chartEx12.xml"/><Relationship Id="rId17" Type="http://schemas.microsoft.com/office/2014/relationships/chartEx" Target="../charts/chartEx17.xml"/><Relationship Id="rId25" Type="http://schemas.openxmlformats.org/officeDocument/2006/relationships/chart" Target="../charts/chart5.xml"/><Relationship Id="rId2" Type="http://schemas.microsoft.com/office/2014/relationships/chartEx" Target="../charts/chartEx2.xml"/><Relationship Id="rId16" Type="http://schemas.microsoft.com/office/2014/relationships/chartEx" Target="../charts/chartEx16.xml"/><Relationship Id="rId20" Type="http://schemas.microsoft.com/office/2014/relationships/chartEx" Target="../charts/chartEx20.xml"/><Relationship Id="rId29" Type="http://schemas.openxmlformats.org/officeDocument/2006/relationships/chart" Target="../charts/chart9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11" Type="http://schemas.microsoft.com/office/2014/relationships/chartEx" Target="../charts/chartEx11.xml"/><Relationship Id="rId24" Type="http://schemas.openxmlformats.org/officeDocument/2006/relationships/chart" Target="../charts/chart4.xml"/><Relationship Id="rId5" Type="http://schemas.microsoft.com/office/2014/relationships/chartEx" Target="../charts/chartEx5.xml"/><Relationship Id="rId15" Type="http://schemas.microsoft.com/office/2014/relationships/chartEx" Target="../charts/chartEx15.xml"/><Relationship Id="rId23" Type="http://schemas.openxmlformats.org/officeDocument/2006/relationships/chart" Target="../charts/chart3.xml"/><Relationship Id="rId28" Type="http://schemas.openxmlformats.org/officeDocument/2006/relationships/chart" Target="../charts/chart8.xml"/><Relationship Id="rId10" Type="http://schemas.microsoft.com/office/2014/relationships/chartEx" Target="../charts/chartEx10.xml"/><Relationship Id="rId19" Type="http://schemas.microsoft.com/office/2014/relationships/chartEx" Target="../charts/chartEx19.xml"/><Relationship Id="rId4" Type="http://schemas.microsoft.com/office/2014/relationships/chartEx" Target="../charts/chartEx4.xml"/><Relationship Id="rId9" Type="http://schemas.microsoft.com/office/2014/relationships/chartEx" Target="../charts/chartEx9.xml"/><Relationship Id="rId14" Type="http://schemas.microsoft.com/office/2014/relationships/chartEx" Target="../charts/chartEx14.xml"/><Relationship Id="rId22" Type="http://schemas.openxmlformats.org/officeDocument/2006/relationships/chart" Target="../charts/chart2.xml"/><Relationship Id="rId27" Type="http://schemas.openxmlformats.org/officeDocument/2006/relationships/chart" Target="../charts/chart7.xml"/><Relationship Id="rId30" Type="http://schemas.openxmlformats.org/officeDocument/2006/relationships/chart" Target="../charts/chart10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8.xml"/><Relationship Id="rId3" Type="http://schemas.openxmlformats.org/officeDocument/2006/relationships/chart" Target="../charts/chart23.xml"/><Relationship Id="rId7" Type="http://schemas.openxmlformats.org/officeDocument/2006/relationships/chart" Target="../charts/chart27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6" Type="http://schemas.openxmlformats.org/officeDocument/2006/relationships/chart" Target="../charts/chart26.xml"/><Relationship Id="rId5" Type="http://schemas.openxmlformats.org/officeDocument/2006/relationships/chart" Target="../charts/chart25.xml"/><Relationship Id="rId10" Type="http://schemas.openxmlformats.org/officeDocument/2006/relationships/chart" Target="../charts/chart30.xml"/><Relationship Id="rId4" Type="http://schemas.openxmlformats.org/officeDocument/2006/relationships/chart" Target="../charts/chart24.xml"/><Relationship Id="rId9" Type="http://schemas.openxmlformats.org/officeDocument/2006/relationships/chart" Target="../charts/chart29.xml"/></Relationships>
</file>

<file path=xl/drawings/_rels/drawing4.xml.rels><?xml version="1.0" encoding="UTF-8" standalone="yes"?>
<Relationships xmlns="http://schemas.openxmlformats.org/package/2006/relationships"><Relationship Id="rId8" Type="http://schemas.microsoft.com/office/2014/relationships/chartEx" Target="../charts/chartEx28.xml"/><Relationship Id="rId13" Type="http://schemas.microsoft.com/office/2014/relationships/chartEx" Target="../charts/chartEx33.xml"/><Relationship Id="rId18" Type="http://schemas.microsoft.com/office/2014/relationships/chartEx" Target="../charts/chartEx38.xml"/><Relationship Id="rId26" Type="http://schemas.openxmlformats.org/officeDocument/2006/relationships/chart" Target="../charts/chart36.xml"/><Relationship Id="rId3" Type="http://schemas.microsoft.com/office/2014/relationships/chartEx" Target="../charts/chartEx23.xml"/><Relationship Id="rId21" Type="http://schemas.openxmlformats.org/officeDocument/2006/relationships/chart" Target="../charts/chart31.xml"/><Relationship Id="rId7" Type="http://schemas.microsoft.com/office/2014/relationships/chartEx" Target="../charts/chartEx27.xml"/><Relationship Id="rId12" Type="http://schemas.microsoft.com/office/2014/relationships/chartEx" Target="../charts/chartEx32.xml"/><Relationship Id="rId17" Type="http://schemas.microsoft.com/office/2014/relationships/chartEx" Target="../charts/chartEx37.xml"/><Relationship Id="rId25" Type="http://schemas.openxmlformats.org/officeDocument/2006/relationships/chart" Target="../charts/chart35.xml"/><Relationship Id="rId2" Type="http://schemas.microsoft.com/office/2014/relationships/chartEx" Target="../charts/chartEx22.xml"/><Relationship Id="rId16" Type="http://schemas.microsoft.com/office/2014/relationships/chartEx" Target="../charts/chartEx36.xml"/><Relationship Id="rId20" Type="http://schemas.microsoft.com/office/2014/relationships/chartEx" Target="../charts/chartEx40.xml"/><Relationship Id="rId29" Type="http://schemas.openxmlformats.org/officeDocument/2006/relationships/chart" Target="../charts/chart39.xml"/><Relationship Id="rId1" Type="http://schemas.microsoft.com/office/2014/relationships/chartEx" Target="../charts/chartEx21.xml"/><Relationship Id="rId6" Type="http://schemas.microsoft.com/office/2014/relationships/chartEx" Target="../charts/chartEx26.xml"/><Relationship Id="rId11" Type="http://schemas.microsoft.com/office/2014/relationships/chartEx" Target="../charts/chartEx31.xml"/><Relationship Id="rId24" Type="http://schemas.openxmlformats.org/officeDocument/2006/relationships/chart" Target="../charts/chart34.xml"/><Relationship Id="rId5" Type="http://schemas.microsoft.com/office/2014/relationships/chartEx" Target="../charts/chartEx25.xml"/><Relationship Id="rId15" Type="http://schemas.microsoft.com/office/2014/relationships/chartEx" Target="../charts/chartEx35.xml"/><Relationship Id="rId23" Type="http://schemas.openxmlformats.org/officeDocument/2006/relationships/chart" Target="../charts/chart33.xml"/><Relationship Id="rId28" Type="http://schemas.openxmlformats.org/officeDocument/2006/relationships/chart" Target="../charts/chart38.xml"/><Relationship Id="rId10" Type="http://schemas.microsoft.com/office/2014/relationships/chartEx" Target="../charts/chartEx30.xml"/><Relationship Id="rId19" Type="http://schemas.microsoft.com/office/2014/relationships/chartEx" Target="../charts/chartEx39.xml"/><Relationship Id="rId4" Type="http://schemas.microsoft.com/office/2014/relationships/chartEx" Target="../charts/chartEx24.xml"/><Relationship Id="rId9" Type="http://schemas.microsoft.com/office/2014/relationships/chartEx" Target="../charts/chartEx29.xml"/><Relationship Id="rId14" Type="http://schemas.microsoft.com/office/2014/relationships/chartEx" Target="../charts/chartEx34.xml"/><Relationship Id="rId22" Type="http://schemas.openxmlformats.org/officeDocument/2006/relationships/chart" Target="../charts/chart32.xml"/><Relationship Id="rId27" Type="http://schemas.openxmlformats.org/officeDocument/2006/relationships/chart" Target="../charts/chart37.xml"/><Relationship Id="rId30" Type="http://schemas.openxmlformats.org/officeDocument/2006/relationships/chart" Target="../charts/chart4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.xml"/><Relationship Id="rId2" Type="http://schemas.microsoft.com/office/2014/relationships/chartEx" Target="../charts/chartEx41.xml"/><Relationship Id="rId1" Type="http://schemas.openxmlformats.org/officeDocument/2006/relationships/chart" Target="../charts/chart41.xml"/><Relationship Id="rId6" Type="http://schemas.microsoft.com/office/2014/relationships/chartEx" Target="../charts/chartEx42.xml"/><Relationship Id="rId5" Type="http://schemas.openxmlformats.org/officeDocument/2006/relationships/chart" Target="../charts/chart44.xml"/><Relationship Id="rId4" Type="http://schemas.openxmlformats.org/officeDocument/2006/relationships/chart" Target="../charts/chart4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92</xdr:row>
      <xdr:rowOff>57150</xdr:rowOff>
    </xdr:from>
    <xdr:to>
      <xdr:col>0</xdr:col>
      <xdr:colOff>3749040</xdr:colOff>
      <xdr:row>108</xdr:row>
      <xdr:rowOff>118110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31D791E-EEBE-AD17-9744-2D27A6D8FC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16866870"/>
              <a:ext cx="371094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53340</xdr:colOff>
      <xdr:row>113</xdr:row>
      <xdr:rowOff>34290</xdr:rowOff>
    </xdr:from>
    <xdr:to>
      <xdr:col>1</xdr:col>
      <xdr:colOff>7620</xdr:colOff>
      <xdr:row>129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11BE961-12E7-89E1-7862-1338CF63C3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340" y="20516850"/>
              <a:ext cx="55245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30480</xdr:colOff>
      <xdr:row>92</xdr:row>
      <xdr:rowOff>80010</xdr:rowOff>
    </xdr:from>
    <xdr:to>
      <xdr:col>1</xdr:col>
      <xdr:colOff>4526280</xdr:colOff>
      <xdr:row>108</xdr:row>
      <xdr:rowOff>121920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A588D146-9266-5B89-08A1-4146FD27969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00700" y="16889730"/>
              <a:ext cx="4495800" cy="2724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68580</xdr:colOff>
      <xdr:row>92</xdr:row>
      <xdr:rowOff>80010</xdr:rowOff>
    </xdr:from>
    <xdr:to>
      <xdr:col>2</xdr:col>
      <xdr:colOff>4640580</xdr:colOff>
      <xdr:row>108</xdr:row>
      <xdr:rowOff>140970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26DF7002-26B4-8656-FEEA-171CBB8B44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58500" y="168897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121920</xdr:colOff>
      <xdr:row>92</xdr:row>
      <xdr:rowOff>57150</xdr:rowOff>
    </xdr:from>
    <xdr:to>
      <xdr:col>3</xdr:col>
      <xdr:colOff>4693920</xdr:colOff>
      <xdr:row>108</xdr:row>
      <xdr:rowOff>118110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75D32CD5-FA03-A92C-B17C-40C2602FC6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619220" y="168668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129540</xdr:colOff>
      <xdr:row>92</xdr:row>
      <xdr:rowOff>64770</xdr:rowOff>
    </xdr:from>
    <xdr:to>
      <xdr:col>5</xdr:col>
      <xdr:colOff>4701540</xdr:colOff>
      <xdr:row>108</xdr:row>
      <xdr:rowOff>125730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B2118EFA-CD96-BD14-0E88-15940C8C8C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018740" y="168744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114300</xdr:colOff>
      <xdr:row>92</xdr:row>
      <xdr:rowOff>72390</xdr:rowOff>
    </xdr:from>
    <xdr:to>
      <xdr:col>4</xdr:col>
      <xdr:colOff>4686300</xdr:colOff>
      <xdr:row>108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7C46046C-25C9-59AF-5F62-35E0BF7653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14280" y="168821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106680</xdr:colOff>
      <xdr:row>92</xdr:row>
      <xdr:rowOff>57150</xdr:rowOff>
    </xdr:from>
    <xdr:to>
      <xdr:col>6</xdr:col>
      <xdr:colOff>4678680</xdr:colOff>
      <xdr:row>108</xdr:row>
      <xdr:rowOff>118110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66B91EC7-D395-F7B5-B41A-0C79EF8F1A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250120" y="168668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117895</xdr:colOff>
      <xdr:row>92</xdr:row>
      <xdr:rowOff>84179</xdr:rowOff>
    </xdr:from>
    <xdr:to>
      <xdr:col>7</xdr:col>
      <xdr:colOff>4689895</xdr:colOff>
      <xdr:row>108</xdr:row>
      <xdr:rowOff>114659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EA169BA5-602D-6382-47F3-FCCAC06066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591775" y="16893899"/>
              <a:ext cx="4572000" cy="2712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86264</xdr:colOff>
      <xdr:row>92</xdr:row>
      <xdr:rowOff>116457</xdr:rowOff>
    </xdr:from>
    <xdr:to>
      <xdr:col>8</xdr:col>
      <xdr:colOff>4658264</xdr:colOff>
      <xdr:row>108</xdr:row>
      <xdr:rowOff>99204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60DEF18B-74E5-6B8A-C669-F1A6534D1D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669604" y="16926177"/>
              <a:ext cx="4572000" cy="26649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57511</xdr:colOff>
      <xdr:row>92</xdr:row>
      <xdr:rowOff>130834</xdr:rowOff>
    </xdr:from>
    <xdr:to>
      <xdr:col>9</xdr:col>
      <xdr:colOff>4629511</xdr:colOff>
      <xdr:row>108</xdr:row>
      <xdr:rowOff>113581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113FA774-441D-071B-75BD-876DD66ADE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382771" y="16940554"/>
              <a:ext cx="4572000" cy="26649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53837</xdr:colOff>
      <xdr:row>113</xdr:row>
      <xdr:rowOff>44727</xdr:rowOff>
    </xdr:from>
    <xdr:to>
      <xdr:col>1</xdr:col>
      <xdr:colOff>4580283</xdr:colOff>
      <xdr:row>129</xdr:row>
      <xdr:rowOff>137492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63FDC9EE-CEB4-D40C-7544-97B2942801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24057" y="20527287"/>
              <a:ext cx="4526446" cy="27750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70403</xdr:colOff>
      <xdr:row>113</xdr:row>
      <xdr:rowOff>44724</xdr:rowOff>
    </xdr:from>
    <xdr:to>
      <xdr:col>2</xdr:col>
      <xdr:colOff>4642403</xdr:colOff>
      <xdr:row>129</xdr:row>
      <xdr:rowOff>137489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118D5437-1432-A9F9-9F2A-2FACEDF470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60323" y="20527284"/>
              <a:ext cx="4572000" cy="27750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78685</xdr:colOff>
      <xdr:row>113</xdr:row>
      <xdr:rowOff>44726</xdr:rowOff>
    </xdr:from>
    <xdr:to>
      <xdr:col>3</xdr:col>
      <xdr:colOff>4650685</xdr:colOff>
      <xdr:row>129</xdr:row>
      <xdr:rowOff>137491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Chart 14">
              <a:extLst>
                <a:ext uri="{FF2B5EF4-FFF2-40B4-BE49-F238E27FC236}">
                  <a16:creationId xmlns:a16="http://schemas.microsoft.com/office/drawing/2014/main" id="{831F7678-5DA2-B8F4-1F1A-00E8C6B948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75985" y="20527286"/>
              <a:ext cx="4572000" cy="27750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45555</xdr:colOff>
      <xdr:row>113</xdr:row>
      <xdr:rowOff>102705</xdr:rowOff>
    </xdr:from>
    <xdr:to>
      <xdr:col>4</xdr:col>
      <xdr:colOff>4617555</xdr:colOff>
      <xdr:row>130</xdr:row>
      <xdr:rowOff>29818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6" name="Chart 15">
              <a:extLst>
                <a:ext uri="{FF2B5EF4-FFF2-40B4-BE49-F238E27FC236}">
                  <a16:creationId xmlns:a16="http://schemas.microsoft.com/office/drawing/2014/main" id="{77606E40-D8C0-DE61-430D-DF48B4335D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745535" y="20585265"/>
              <a:ext cx="4572000" cy="27769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136663</xdr:colOff>
      <xdr:row>113</xdr:row>
      <xdr:rowOff>110987</xdr:rowOff>
    </xdr:from>
    <xdr:to>
      <xdr:col>5</xdr:col>
      <xdr:colOff>4708663</xdr:colOff>
      <xdr:row>130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7" name="Chart 16">
              <a:extLst>
                <a:ext uri="{FF2B5EF4-FFF2-40B4-BE49-F238E27FC236}">
                  <a16:creationId xmlns:a16="http://schemas.microsoft.com/office/drawing/2014/main" id="{98D15B6E-D947-FCFB-1DEB-03B7D90803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025863" y="20593547"/>
              <a:ext cx="4572000" cy="27769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186359</xdr:colOff>
      <xdr:row>113</xdr:row>
      <xdr:rowOff>11595</xdr:rowOff>
    </xdr:from>
    <xdr:to>
      <xdr:col>6</xdr:col>
      <xdr:colOff>4758359</xdr:colOff>
      <xdr:row>129</xdr:row>
      <xdr:rowOff>104360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8" name="Chart 17">
              <a:extLst>
                <a:ext uri="{FF2B5EF4-FFF2-40B4-BE49-F238E27FC236}">
                  <a16:creationId xmlns:a16="http://schemas.microsoft.com/office/drawing/2014/main" id="{5131A438-44D9-1DA1-9376-36A507C062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329799" y="20494155"/>
              <a:ext cx="4572000" cy="27750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86968</xdr:colOff>
      <xdr:row>113</xdr:row>
      <xdr:rowOff>28161</xdr:rowOff>
    </xdr:from>
    <xdr:to>
      <xdr:col>7</xdr:col>
      <xdr:colOff>4658968</xdr:colOff>
      <xdr:row>129</xdr:row>
      <xdr:rowOff>120926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9" name="Chart 18">
              <a:extLst>
                <a:ext uri="{FF2B5EF4-FFF2-40B4-BE49-F238E27FC236}">
                  <a16:creationId xmlns:a16="http://schemas.microsoft.com/office/drawing/2014/main" id="{E4DCD999-B536-AF0E-94B0-800FEAF2EE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560848" y="20510721"/>
              <a:ext cx="4572000" cy="27750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211206</xdr:colOff>
      <xdr:row>113</xdr:row>
      <xdr:rowOff>77856</xdr:rowOff>
    </xdr:from>
    <xdr:to>
      <xdr:col>8</xdr:col>
      <xdr:colOff>4783206</xdr:colOff>
      <xdr:row>130</xdr:row>
      <xdr:rowOff>4969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0" name="Chart 19">
              <a:extLst>
                <a:ext uri="{FF2B5EF4-FFF2-40B4-BE49-F238E27FC236}">
                  <a16:creationId xmlns:a16="http://schemas.microsoft.com/office/drawing/2014/main" id="{2320AF59-F9DA-DAF1-2AB7-9B75950313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794546" y="20560416"/>
              <a:ext cx="4572000" cy="27769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136664</xdr:colOff>
      <xdr:row>113</xdr:row>
      <xdr:rowOff>61290</xdr:rowOff>
    </xdr:from>
    <xdr:to>
      <xdr:col>9</xdr:col>
      <xdr:colOff>4708664</xdr:colOff>
      <xdr:row>129</xdr:row>
      <xdr:rowOff>154055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1" name="Chart 20">
              <a:extLst>
                <a:ext uri="{FF2B5EF4-FFF2-40B4-BE49-F238E27FC236}">
                  <a16:creationId xmlns:a16="http://schemas.microsoft.com/office/drawing/2014/main" id="{9B6D28B5-70D7-DB75-C76C-BD66BC7D79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461924" y="20543850"/>
              <a:ext cx="4572000" cy="27750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70402</xdr:colOff>
      <xdr:row>138</xdr:row>
      <xdr:rowOff>102704</xdr:rowOff>
    </xdr:from>
    <xdr:to>
      <xdr:col>0</xdr:col>
      <xdr:colOff>4754217</xdr:colOff>
      <xdr:row>155</xdr:row>
      <xdr:rowOff>29817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DAAC0B92-244A-35E0-8519-26E9A6CF33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</xdr:col>
      <xdr:colOff>136663</xdr:colOff>
      <xdr:row>138</xdr:row>
      <xdr:rowOff>127553</xdr:rowOff>
    </xdr:from>
    <xdr:to>
      <xdr:col>1</xdr:col>
      <xdr:colOff>4572001</xdr:colOff>
      <xdr:row>155</xdr:row>
      <xdr:rowOff>54666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81A0A78B-8CDC-358C-B616-983AEA705F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</xdr:col>
      <xdr:colOff>178075</xdr:colOff>
      <xdr:row>138</xdr:row>
      <xdr:rowOff>102704</xdr:rowOff>
    </xdr:from>
    <xdr:to>
      <xdr:col>2</xdr:col>
      <xdr:colOff>4750075</xdr:colOff>
      <xdr:row>155</xdr:row>
      <xdr:rowOff>29817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CD96071B-CAC0-7456-E0EB-33546E2B5E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</xdr:col>
      <xdr:colOff>111815</xdr:colOff>
      <xdr:row>138</xdr:row>
      <xdr:rowOff>77856</xdr:rowOff>
    </xdr:from>
    <xdr:to>
      <xdr:col>3</xdr:col>
      <xdr:colOff>4683815</xdr:colOff>
      <xdr:row>155</xdr:row>
      <xdr:rowOff>4969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F82DE1C-DD6E-6D11-6001-45CFBC8174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4</xdr:col>
      <xdr:colOff>144945</xdr:colOff>
      <xdr:row>138</xdr:row>
      <xdr:rowOff>86139</xdr:rowOff>
    </xdr:from>
    <xdr:to>
      <xdr:col>4</xdr:col>
      <xdr:colOff>4716945</xdr:colOff>
      <xdr:row>155</xdr:row>
      <xdr:rowOff>13252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60695E07-EA61-70E7-902E-674B00C127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</xdr:col>
      <xdr:colOff>111815</xdr:colOff>
      <xdr:row>138</xdr:row>
      <xdr:rowOff>94422</xdr:rowOff>
    </xdr:from>
    <xdr:to>
      <xdr:col>5</xdr:col>
      <xdr:colOff>4683815</xdr:colOff>
      <xdr:row>155</xdr:row>
      <xdr:rowOff>21535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FA22A5B0-70EB-92A9-8B89-01A2A17340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6</xdr:col>
      <xdr:colOff>219489</xdr:colOff>
      <xdr:row>138</xdr:row>
      <xdr:rowOff>127552</xdr:rowOff>
    </xdr:from>
    <xdr:to>
      <xdr:col>6</xdr:col>
      <xdr:colOff>4791489</xdr:colOff>
      <xdr:row>155</xdr:row>
      <xdr:rowOff>54665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86A789A9-5482-79FB-C3B9-A945CBC294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7</xdr:col>
      <xdr:colOff>178075</xdr:colOff>
      <xdr:row>138</xdr:row>
      <xdr:rowOff>152400</xdr:rowOff>
    </xdr:from>
    <xdr:to>
      <xdr:col>7</xdr:col>
      <xdr:colOff>4750075</xdr:colOff>
      <xdr:row>155</xdr:row>
      <xdr:rowOff>79513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709D7747-1027-939F-6611-2E3832C6D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8</xdr:col>
      <xdr:colOff>95250</xdr:colOff>
      <xdr:row>138</xdr:row>
      <xdr:rowOff>94422</xdr:rowOff>
    </xdr:from>
    <xdr:to>
      <xdr:col>8</xdr:col>
      <xdr:colOff>4667250</xdr:colOff>
      <xdr:row>155</xdr:row>
      <xdr:rowOff>21535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70A6E04B-8E3A-1DF9-DE96-A9EFF87E3D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9</xdr:col>
      <xdr:colOff>136663</xdr:colOff>
      <xdr:row>138</xdr:row>
      <xdr:rowOff>94421</xdr:rowOff>
    </xdr:from>
    <xdr:to>
      <xdr:col>9</xdr:col>
      <xdr:colOff>4708663</xdr:colOff>
      <xdr:row>155</xdr:row>
      <xdr:rowOff>21534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B26A00CE-EBF7-5A7B-23D9-5B71F22136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12739</xdr:colOff>
      <xdr:row>71</xdr:row>
      <xdr:rowOff>76357</xdr:rowOff>
    </xdr:from>
    <xdr:to>
      <xdr:col>0</xdr:col>
      <xdr:colOff>4584739</xdr:colOff>
      <xdr:row>88</xdr:row>
      <xdr:rowOff>25557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61A722-5B55-4DA8-8E41-269E525009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67235</xdr:colOff>
      <xdr:row>71</xdr:row>
      <xdr:rowOff>37352</xdr:rowOff>
    </xdr:from>
    <xdr:to>
      <xdr:col>1</xdr:col>
      <xdr:colOff>7714876</xdr:colOff>
      <xdr:row>87</xdr:row>
      <xdr:rowOff>98312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649236-9897-4001-90DD-BACE4415D2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59765</xdr:colOff>
      <xdr:row>71</xdr:row>
      <xdr:rowOff>22412</xdr:rowOff>
    </xdr:from>
    <xdr:to>
      <xdr:col>2</xdr:col>
      <xdr:colOff>7471186</xdr:colOff>
      <xdr:row>87</xdr:row>
      <xdr:rowOff>83372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CE0E61-6151-4C77-984F-EB8ED911C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82176</xdr:colOff>
      <xdr:row>71</xdr:row>
      <xdr:rowOff>59765</xdr:rowOff>
    </xdr:from>
    <xdr:to>
      <xdr:col>3</xdr:col>
      <xdr:colOff>7014883</xdr:colOff>
      <xdr:row>87</xdr:row>
      <xdr:rowOff>120725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1165414-A3A6-47D5-B488-CDC52128D6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89647</xdr:colOff>
      <xdr:row>71</xdr:row>
      <xdr:rowOff>67235</xdr:rowOff>
    </xdr:from>
    <xdr:to>
      <xdr:col>4</xdr:col>
      <xdr:colOff>8583706</xdr:colOff>
      <xdr:row>87</xdr:row>
      <xdr:rowOff>128195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7CF5146-4AD4-473A-8EC8-C3473B3AA7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54429</xdr:colOff>
      <xdr:row>71</xdr:row>
      <xdr:rowOff>76200</xdr:rowOff>
    </xdr:from>
    <xdr:to>
      <xdr:col>5</xdr:col>
      <xdr:colOff>6694713</xdr:colOff>
      <xdr:row>87</xdr:row>
      <xdr:rowOff>137160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80E07EB-3565-41A3-8002-F42CB906A6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43544</xdr:colOff>
      <xdr:row>71</xdr:row>
      <xdr:rowOff>87085</xdr:rowOff>
    </xdr:from>
    <xdr:to>
      <xdr:col>6</xdr:col>
      <xdr:colOff>7228114</xdr:colOff>
      <xdr:row>87</xdr:row>
      <xdr:rowOff>148046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66F918C-EDBB-47E8-8718-691CE8B5E2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76201</xdr:colOff>
      <xdr:row>71</xdr:row>
      <xdr:rowOff>87086</xdr:rowOff>
    </xdr:from>
    <xdr:to>
      <xdr:col>7</xdr:col>
      <xdr:colOff>7903028</xdr:colOff>
      <xdr:row>87</xdr:row>
      <xdr:rowOff>148047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D1B103D-C9CA-497B-A78D-6BD9E7FC9B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97972</xdr:colOff>
      <xdr:row>71</xdr:row>
      <xdr:rowOff>76200</xdr:rowOff>
    </xdr:from>
    <xdr:to>
      <xdr:col>8</xdr:col>
      <xdr:colOff>7826829</xdr:colOff>
      <xdr:row>87</xdr:row>
      <xdr:rowOff>137161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040B5DD-B92E-4683-B1A6-13D58224D7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217714</xdr:colOff>
      <xdr:row>71</xdr:row>
      <xdr:rowOff>76201</xdr:rowOff>
    </xdr:from>
    <xdr:to>
      <xdr:col>9</xdr:col>
      <xdr:colOff>7641771</xdr:colOff>
      <xdr:row>88</xdr:row>
      <xdr:rowOff>43544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3175009-5181-43F8-8AEF-8A4F44F8AF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71</xdr:row>
      <xdr:rowOff>38100</xdr:rowOff>
    </xdr:from>
    <xdr:to>
      <xdr:col>0</xdr:col>
      <xdr:colOff>4617720</xdr:colOff>
      <xdr:row>87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2479E5-1B31-4E3F-BBDA-7BA431F4D7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68580</xdr:colOff>
      <xdr:row>71</xdr:row>
      <xdr:rowOff>0</xdr:rowOff>
    </xdr:from>
    <xdr:to>
      <xdr:col>1</xdr:col>
      <xdr:colOff>4640580</xdr:colOff>
      <xdr:row>87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1065112-3455-4E28-BAC0-CEB96ADC9F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71</xdr:row>
      <xdr:rowOff>0</xdr:rowOff>
    </xdr:from>
    <xdr:to>
      <xdr:col>2</xdr:col>
      <xdr:colOff>3924300</xdr:colOff>
      <xdr:row>87</xdr:row>
      <xdr:rowOff>60960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2C28A0C-4EAD-4472-BB15-451F11DABC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53340</xdr:colOff>
      <xdr:row>71</xdr:row>
      <xdr:rowOff>76200</xdr:rowOff>
    </xdr:from>
    <xdr:to>
      <xdr:col>3</xdr:col>
      <xdr:colOff>4556760</xdr:colOff>
      <xdr:row>87</xdr:row>
      <xdr:rowOff>137160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0CCA551-DFC8-4C7C-874D-CB23DE26D0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144780</xdr:colOff>
      <xdr:row>71</xdr:row>
      <xdr:rowOff>53340</xdr:rowOff>
    </xdr:from>
    <xdr:to>
      <xdr:col>4</xdr:col>
      <xdr:colOff>4716780</xdr:colOff>
      <xdr:row>87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A825F7-3A83-4F12-8E48-ABBF635012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182880</xdr:colOff>
      <xdr:row>71</xdr:row>
      <xdr:rowOff>76200</xdr:rowOff>
    </xdr:from>
    <xdr:to>
      <xdr:col>5</xdr:col>
      <xdr:colOff>4754880</xdr:colOff>
      <xdr:row>87</xdr:row>
      <xdr:rowOff>137160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C241E12-CBFE-4151-B07C-5DA4F2F7AE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91440</xdr:colOff>
      <xdr:row>71</xdr:row>
      <xdr:rowOff>60960</xdr:rowOff>
    </xdr:from>
    <xdr:to>
      <xdr:col>6</xdr:col>
      <xdr:colOff>4663440</xdr:colOff>
      <xdr:row>87</xdr:row>
      <xdr:rowOff>121920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628425D-8CD4-4EB2-8840-C10CECD8AC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68580</xdr:colOff>
      <xdr:row>71</xdr:row>
      <xdr:rowOff>68580</xdr:rowOff>
    </xdr:from>
    <xdr:to>
      <xdr:col>7</xdr:col>
      <xdr:colOff>4640580</xdr:colOff>
      <xdr:row>87</xdr:row>
      <xdr:rowOff>129540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24C465D-A258-43CF-B494-EB436FB449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91440</xdr:colOff>
      <xdr:row>71</xdr:row>
      <xdr:rowOff>45720</xdr:rowOff>
    </xdr:from>
    <xdr:to>
      <xdr:col>8</xdr:col>
      <xdr:colOff>4663440</xdr:colOff>
      <xdr:row>87</xdr:row>
      <xdr:rowOff>106680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472DF7E-6B98-417C-BE19-30D147FC72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121920</xdr:colOff>
      <xdr:row>71</xdr:row>
      <xdr:rowOff>99060</xdr:rowOff>
    </xdr:from>
    <xdr:to>
      <xdr:col>9</xdr:col>
      <xdr:colOff>4693920</xdr:colOff>
      <xdr:row>87</xdr:row>
      <xdr:rowOff>160020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13CA60B-23E0-45B1-BBEA-F7319E2F95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103</xdr:row>
      <xdr:rowOff>87630</xdr:rowOff>
    </xdr:from>
    <xdr:to>
      <xdr:col>0</xdr:col>
      <xdr:colOff>4648200</xdr:colOff>
      <xdr:row>119</xdr:row>
      <xdr:rowOff>148590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678D346-FC07-900F-829C-3A047FCD24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" y="188785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140073</xdr:colOff>
      <xdr:row>103</xdr:row>
      <xdr:rowOff>79561</xdr:rowOff>
    </xdr:from>
    <xdr:to>
      <xdr:col>1</xdr:col>
      <xdr:colOff>4712073</xdr:colOff>
      <xdr:row>119</xdr:row>
      <xdr:rowOff>133349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6C0A49B3-FA40-557C-E30C-DFA1EDBFAE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19153" y="18870481"/>
              <a:ext cx="4572000" cy="27360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196102</xdr:colOff>
      <xdr:row>103</xdr:row>
      <xdr:rowOff>135591</xdr:rowOff>
    </xdr:from>
    <xdr:to>
      <xdr:col>2</xdr:col>
      <xdr:colOff>4768102</xdr:colOff>
      <xdr:row>120</xdr:row>
      <xdr:rowOff>21291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A0E1C456-3CD7-7E66-28EF-8229C68166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60842" y="18926511"/>
              <a:ext cx="4572000" cy="27355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106456</xdr:colOff>
      <xdr:row>104</xdr:row>
      <xdr:rowOff>23532</xdr:rowOff>
    </xdr:from>
    <xdr:to>
      <xdr:col>3</xdr:col>
      <xdr:colOff>4678456</xdr:colOff>
      <xdr:row>120</xdr:row>
      <xdr:rowOff>77320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F3C34177-17B6-AF60-6F4F-0B0E22C972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126476" y="18982092"/>
              <a:ext cx="4572000" cy="27360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128867</xdr:colOff>
      <xdr:row>103</xdr:row>
      <xdr:rowOff>68355</xdr:rowOff>
    </xdr:from>
    <xdr:to>
      <xdr:col>4</xdr:col>
      <xdr:colOff>4700867</xdr:colOff>
      <xdr:row>119</xdr:row>
      <xdr:rowOff>122143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875A2E34-2DCC-2EFD-CC53-5D9B26A85B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346227" y="18859275"/>
              <a:ext cx="4572000" cy="27360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274544</xdr:colOff>
      <xdr:row>103</xdr:row>
      <xdr:rowOff>124385</xdr:rowOff>
    </xdr:from>
    <xdr:to>
      <xdr:col>5</xdr:col>
      <xdr:colOff>4846544</xdr:colOff>
      <xdr:row>120</xdr:row>
      <xdr:rowOff>10085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A47EB9FF-F7A2-55F5-3FB1-8E7C913367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797704" y="18915305"/>
              <a:ext cx="4572000" cy="27355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431427</xdr:colOff>
      <xdr:row>104</xdr:row>
      <xdr:rowOff>12327</xdr:rowOff>
    </xdr:from>
    <xdr:to>
      <xdr:col>6</xdr:col>
      <xdr:colOff>5003427</xdr:colOff>
      <xdr:row>120</xdr:row>
      <xdr:rowOff>66115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276746A3-760E-2A2D-4161-96AE0FA234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588047" y="18970887"/>
              <a:ext cx="4572000" cy="27360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409014</xdr:colOff>
      <xdr:row>105</xdr:row>
      <xdr:rowOff>1121</xdr:rowOff>
    </xdr:from>
    <xdr:to>
      <xdr:col>7</xdr:col>
      <xdr:colOff>4981014</xdr:colOff>
      <xdr:row>121</xdr:row>
      <xdr:rowOff>54909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8668D5DD-5871-9EBC-9690-003A42B492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427694" y="19127321"/>
              <a:ext cx="4572000" cy="27360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397808</xdr:colOff>
      <xdr:row>104</xdr:row>
      <xdr:rowOff>135591</xdr:rowOff>
    </xdr:from>
    <xdr:to>
      <xdr:col>8</xdr:col>
      <xdr:colOff>4969808</xdr:colOff>
      <xdr:row>121</xdr:row>
      <xdr:rowOff>21291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66021C24-846B-C536-9D62-6EAB2AFAC5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547028" y="19094151"/>
              <a:ext cx="4572000" cy="27355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106456</xdr:colOff>
      <xdr:row>104</xdr:row>
      <xdr:rowOff>68355</xdr:rowOff>
    </xdr:from>
    <xdr:to>
      <xdr:col>9</xdr:col>
      <xdr:colOff>4678456</xdr:colOff>
      <xdr:row>120</xdr:row>
      <xdr:rowOff>122143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43CD85C1-2561-F88C-5D50-A268A2DE82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210956" y="19026915"/>
              <a:ext cx="4572000" cy="27360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95250</xdr:colOff>
      <xdr:row>125</xdr:row>
      <xdr:rowOff>158002</xdr:rowOff>
    </xdr:from>
    <xdr:to>
      <xdr:col>0</xdr:col>
      <xdr:colOff>4667250</xdr:colOff>
      <xdr:row>142</xdr:row>
      <xdr:rowOff>43702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85CC4AA5-6C7A-AC38-A91B-EA9B841CD3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0" y="22789402"/>
              <a:ext cx="4572000" cy="27355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162485</xdr:colOff>
      <xdr:row>125</xdr:row>
      <xdr:rowOff>158003</xdr:rowOff>
    </xdr:from>
    <xdr:to>
      <xdr:col>1</xdr:col>
      <xdr:colOff>4734485</xdr:colOff>
      <xdr:row>142</xdr:row>
      <xdr:rowOff>43703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F281F942-4D78-E04A-9E1F-F7AC4BC937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41565" y="22789403"/>
              <a:ext cx="4572000" cy="27355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330574</xdr:colOff>
      <xdr:row>125</xdr:row>
      <xdr:rowOff>79562</xdr:rowOff>
    </xdr:from>
    <xdr:to>
      <xdr:col>2</xdr:col>
      <xdr:colOff>4902574</xdr:colOff>
      <xdr:row>141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Chart 14">
              <a:extLst>
                <a:ext uri="{FF2B5EF4-FFF2-40B4-BE49-F238E27FC236}">
                  <a16:creationId xmlns:a16="http://schemas.microsoft.com/office/drawing/2014/main" id="{FE47696E-A4BB-E375-613B-4C847A1228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95314" y="22710962"/>
              <a:ext cx="4572000" cy="27360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184897</xdr:colOff>
      <xdr:row>125</xdr:row>
      <xdr:rowOff>158003</xdr:rowOff>
    </xdr:from>
    <xdr:to>
      <xdr:col>3</xdr:col>
      <xdr:colOff>4756897</xdr:colOff>
      <xdr:row>142</xdr:row>
      <xdr:rowOff>43703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6" name="Chart 15">
              <a:extLst>
                <a:ext uri="{FF2B5EF4-FFF2-40B4-BE49-F238E27FC236}">
                  <a16:creationId xmlns:a16="http://schemas.microsoft.com/office/drawing/2014/main" id="{2BC981D9-97C3-320F-1F56-DE73D3A6CB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204917" y="22789403"/>
              <a:ext cx="4572000" cy="27355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386603</xdr:colOff>
      <xdr:row>126</xdr:row>
      <xdr:rowOff>68356</xdr:rowOff>
    </xdr:from>
    <xdr:to>
      <xdr:col>4</xdr:col>
      <xdr:colOff>4958603</xdr:colOff>
      <xdr:row>142</xdr:row>
      <xdr:rowOff>122144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7" name="Chart 16">
              <a:extLst>
                <a:ext uri="{FF2B5EF4-FFF2-40B4-BE49-F238E27FC236}">
                  <a16:creationId xmlns:a16="http://schemas.microsoft.com/office/drawing/2014/main" id="{D4B3D395-51B3-ACF1-0362-F1E4DFF817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603963" y="22867396"/>
              <a:ext cx="4572000" cy="27360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274543</xdr:colOff>
      <xdr:row>126</xdr:row>
      <xdr:rowOff>12327</xdr:rowOff>
    </xdr:from>
    <xdr:to>
      <xdr:col>5</xdr:col>
      <xdr:colOff>4846543</xdr:colOff>
      <xdr:row>142</xdr:row>
      <xdr:rowOff>66115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9" name="Chart 18">
              <a:extLst>
                <a:ext uri="{FF2B5EF4-FFF2-40B4-BE49-F238E27FC236}">
                  <a16:creationId xmlns:a16="http://schemas.microsoft.com/office/drawing/2014/main" id="{60DDC8CA-BA4B-4C55-4407-2A3FE73674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797703" y="22811367"/>
              <a:ext cx="4572000" cy="27360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509868</xdr:colOff>
      <xdr:row>125</xdr:row>
      <xdr:rowOff>124385</xdr:rowOff>
    </xdr:from>
    <xdr:to>
      <xdr:col>6</xdr:col>
      <xdr:colOff>5081868</xdr:colOff>
      <xdr:row>142</xdr:row>
      <xdr:rowOff>10085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0" name="Chart 19">
              <a:extLst>
                <a:ext uri="{FF2B5EF4-FFF2-40B4-BE49-F238E27FC236}">
                  <a16:creationId xmlns:a16="http://schemas.microsoft.com/office/drawing/2014/main" id="{97732FA4-9DA1-D2D8-EE67-F13BF8DC755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666488" y="22755785"/>
              <a:ext cx="4572000" cy="27355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341779</xdr:colOff>
      <xdr:row>125</xdr:row>
      <xdr:rowOff>158003</xdr:rowOff>
    </xdr:from>
    <xdr:to>
      <xdr:col>7</xdr:col>
      <xdr:colOff>4913779</xdr:colOff>
      <xdr:row>142</xdr:row>
      <xdr:rowOff>43703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1" name="Chart 20">
              <a:extLst>
                <a:ext uri="{FF2B5EF4-FFF2-40B4-BE49-F238E27FC236}">
                  <a16:creationId xmlns:a16="http://schemas.microsoft.com/office/drawing/2014/main" id="{D9CDDC21-C691-A6E2-C0FB-0212AA0C81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360459" y="22789403"/>
              <a:ext cx="4572000" cy="27355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319368</xdr:colOff>
      <xdr:row>125</xdr:row>
      <xdr:rowOff>90768</xdr:rowOff>
    </xdr:from>
    <xdr:to>
      <xdr:col>8</xdr:col>
      <xdr:colOff>4891368</xdr:colOff>
      <xdr:row>141</xdr:row>
      <xdr:rowOff>144556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2" name="Chart 21">
              <a:extLst>
                <a:ext uri="{FF2B5EF4-FFF2-40B4-BE49-F238E27FC236}">
                  <a16:creationId xmlns:a16="http://schemas.microsoft.com/office/drawing/2014/main" id="{A17DA320-9225-A79A-40E7-2EBE124E85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468588" y="22722168"/>
              <a:ext cx="4572000" cy="27360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252133</xdr:colOff>
      <xdr:row>125</xdr:row>
      <xdr:rowOff>90768</xdr:rowOff>
    </xdr:from>
    <xdr:to>
      <xdr:col>9</xdr:col>
      <xdr:colOff>4824133</xdr:colOff>
      <xdr:row>141</xdr:row>
      <xdr:rowOff>144556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3" name="Chart 22">
              <a:extLst>
                <a:ext uri="{FF2B5EF4-FFF2-40B4-BE49-F238E27FC236}">
                  <a16:creationId xmlns:a16="http://schemas.microsoft.com/office/drawing/2014/main" id="{6BE6953F-DB56-377E-4661-F8039B10AA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356633" y="22722168"/>
              <a:ext cx="4572000" cy="27360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341780</xdr:colOff>
      <xdr:row>148</xdr:row>
      <xdr:rowOff>135591</xdr:rowOff>
    </xdr:from>
    <xdr:to>
      <xdr:col>0</xdr:col>
      <xdr:colOff>4913780</xdr:colOff>
      <xdr:row>165</xdr:row>
      <xdr:rowOff>21291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14152243-EDE2-7D70-90BE-3537804608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</xdr:col>
      <xdr:colOff>173691</xdr:colOff>
      <xdr:row>148</xdr:row>
      <xdr:rowOff>146797</xdr:rowOff>
    </xdr:from>
    <xdr:to>
      <xdr:col>1</xdr:col>
      <xdr:colOff>4745691</xdr:colOff>
      <xdr:row>165</xdr:row>
      <xdr:rowOff>32497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979DAF84-6593-45BA-E671-57F10F055D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</xdr:col>
      <xdr:colOff>184897</xdr:colOff>
      <xdr:row>148</xdr:row>
      <xdr:rowOff>124386</xdr:rowOff>
    </xdr:from>
    <xdr:to>
      <xdr:col>2</xdr:col>
      <xdr:colOff>4756897</xdr:colOff>
      <xdr:row>165</xdr:row>
      <xdr:rowOff>10086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2D2E555F-5A6B-A820-E8AD-C7CFAFD3B2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</xdr:col>
      <xdr:colOff>554691</xdr:colOff>
      <xdr:row>149</xdr:row>
      <xdr:rowOff>79562</xdr:rowOff>
    </xdr:from>
    <xdr:to>
      <xdr:col>3</xdr:col>
      <xdr:colOff>5126691</xdr:colOff>
      <xdr:row>165</xdr:row>
      <xdr:rowOff>133350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48CAE235-BD10-29C7-9959-8ADBFABD38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4</xdr:col>
      <xdr:colOff>184898</xdr:colOff>
      <xdr:row>148</xdr:row>
      <xdr:rowOff>146797</xdr:rowOff>
    </xdr:from>
    <xdr:to>
      <xdr:col>4</xdr:col>
      <xdr:colOff>4756898</xdr:colOff>
      <xdr:row>165</xdr:row>
      <xdr:rowOff>32497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C83A18B4-23A3-8C5D-4910-23A56490B1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</xdr:col>
      <xdr:colOff>84044</xdr:colOff>
      <xdr:row>148</xdr:row>
      <xdr:rowOff>135591</xdr:rowOff>
    </xdr:from>
    <xdr:to>
      <xdr:col>5</xdr:col>
      <xdr:colOff>4656044</xdr:colOff>
      <xdr:row>165</xdr:row>
      <xdr:rowOff>21291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D9B7D095-0BD7-E71D-0638-7809F40AA5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6</xdr:col>
      <xdr:colOff>117663</xdr:colOff>
      <xdr:row>149</xdr:row>
      <xdr:rowOff>12327</xdr:rowOff>
    </xdr:from>
    <xdr:to>
      <xdr:col>6</xdr:col>
      <xdr:colOff>4689663</xdr:colOff>
      <xdr:row>165</xdr:row>
      <xdr:rowOff>66115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2DB95C59-F7FE-333D-F8D8-D6486AEC92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7</xdr:col>
      <xdr:colOff>296956</xdr:colOff>
      <xdr:row>148</xdr:row>
      <xdr:rowOff>146797</xdr:rowOff>
    </xdr:from>
    <xdr:to>
      <xdr:col>7</xdr:col>
      <xdr:colOff>4868956</xdr:colOff>
      <xdr:row>165</xdr:row>
      <xdr:rowOff>32497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E7691DF1-F0E8-DF5E-A124-8572CC690F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8</xdr:col>
      <xdr:colOff>296956</xdr:colOff>
      <xdr:row>148</xdr:row>
      <xdr:rowOff>101974</xdr:rowOff>
    </xdr:from>
    <xdr:to>
      <xdr:col>8</xdr:col>
      <xdr:colOff>4868956</xdr:colOff>
      <xdr:row>164</xdr:row>
      <xdr:rowOff>155762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2114CBA3-6D55-E7AD-0B69-547A202F68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9</xdr:col>
      <xdr:colOff>229721</xdr:colOff>
      <xdr:row>149</xdr:row>
      <xdr:rowOff>45945</xdr:rowOff>
    </xdr:from>
    <xdr:to>
      <xdr:col>9</xdr:col>
      <xdr:colOff>4801721</xdr:colOff>
      <xdr:row>165</xdr:row>
      <xdr:rowOff>99733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38121E3A-C724-B43A-3B10-174FABF25F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2811780</xdr:colOff>
      <xdr:row>65</xdr:row>
      <xdr:rowOff>72390</xdr:rowOff>
    </xdr:from>
    <xdr:to>
      <xdr:col>0</xdr:col>
      <xdr:colOff>7383780</xdr:colOff>
      <xdr:row>81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114E82-51BA-915D-3990-B556396C7F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2103120</xdr:colOff>
      <xdr:row>126</xdr:row>
      <xdr:rowOff>3810</xdr:rowOff>
    </xdr:from>
    <xdr:to>
      <xdr:col>0</xdr:col>
      <xdr:colOff>6675120</xdr:colOff>
      <xdr:row>142</xdr:row>
      <xdr:rowOff>64770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D3CC84A0-712A-880E-0E08-F473C2D206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03120" y="223532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266700</xdr:colOff>
      <xdr:row>146</xdr:row>
      <xdr:rowOff>80010</xdr:rowOff>
    </xdr:from>
    <xdr:to>
      <xdr:col>0</xdr:col>
      <xdr:colOff>4838700</xdr:colOff>
      <xdr:row>162</xdr:row>
      <xdr:rowOff>140970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576A90-CC74-518D-5665-41218F5312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4945380</xdr:colOff>
      <xdr:row>146</xdr:row>
      <xdr:rowOff>80010</xdr:rowOff>
    </xdr:from>
    <xdr:to>
      <xdr:col>0</xdr:col>
      <xdr:colOff>9517380</xdr:colOff>
      <xdr:row>162</xdr:row>
      <xdr:rowOff>140970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FA7101B-D6E3-6CD3-57AE-772B30600D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2727960</xdr:colOff>
      <xdr:row>168</xdr:row>
      <xdr:rowOff>34290</xdr:rowOff>
    </xdr:from>
    <xdr:to>
      <xdr:col>0</xdr:col>
      <xdr:colOff>7299960</xdr:colOff>
      <xdr:row>184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18D0C46-0CA5-249B-1CBB-B7ABB5A6F9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2865120</xdr:colOff>
      <xdr:row>191</xdr:row>
      <xdr:rowOff>125730</xdr:rowOff>
    </xdr:from>
    <xdr:to>
      <xdr:col>0</xdr:col>
      <xdr:colOff>7437120</xdr:colOff>
      <xdr:row>208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37B2B88D-EB16-49C1-E70E-EE3E24A33D6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65120" y="337375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iba tariq" refreshedDate="45778.497473958334" backgroundQuery="1" createdVersion="8" refreshedVersion="8" minRefreshableVersion="3" recordCount="0" supportSubquery="1" supportAdvancedDrill="1" xr:uid="{414541A7-21CA-4833-9A94-2D56528D8149}">
  <cacheSource type="external" connectionId="1"/>
  <cacheFields count="3">
    <cacheField name="[Form_Responses1].[1. How would you rate your academic stress level?].[1. How would you rate your academic stress level?]" caption="1. How would you rate your academic stress level?" numFmtId="0" hierarchy="11" level="1">
      <sharedItems count="4">
        <s v="Extreme"/>
        <s v="High"/>
        <s v="Low"/>
        <s v="Moderate"/>
      </sharedItems>
    </cacheField>
    <cacheField name="[Form_Responses1].[2. How often do you feel emotionally drained by academic work?].[2. How often do you feel emotionally drained by academic work?]" caption="2. How often do you feel emotionally drained by academic work?" numFmtId="0" hierarchy="12" level="1">
      <sharedItems count="4">
        <s v="Always"/>
        <s v="Often"/>
        <s v="Rarely"/>
        <s v="Sometimes"/>
      </sharedItems>
    </cacheField>
    <cacheField name="[Measures].[Count of 3. How severe are your physical stress symptoms (e.g., headaches)?]" caption="Count of 3. How severe are your physical stress symptoms (e.g., headaches)?" numFmtId="0" hierarchy="50" level="32767"/>
  </cacheFields>
  <cacheHierarchies count="52">
    <cacheHierarchy uniqueName="[Form_Responses1].[Timestamp]" caption="Timestamp" attribute="1" time="1" defaultMemberUniqueName="[Form_Responses1].[Timestamp].[All]" allUniqueName="[Form_Responses1].[Timestamp].[All]" dimensionUniqueName="[Form_Responses1]" displayFolder="" count="0" memberValueDatatype="7" unbalanced="0"/>
    <cacheHierarchy uniqueName="[Form_Responses1].[1. How old are you (in years)?]" caption="1. How old are you (in years)?" attribute="1" defaultMemberUniqueName="[Form_Responses1].[1. How old are you (in years)?].[All]" allUniqueName="[Form_Responses1].[1. How old are you (in years)?].[All]" dimensionUniqueName="[Form_Responses1]" displayFolder="" count="0" memberValueDatatype="20" unbalanced="0"/>
    <cacheHierarchy uniqueName="[Form_Responses1].[2. On average, how many hours do you sleep at night?]" caption="2. On average, how many hours do you sleep at night?" attribute="1" defaultMemberUniqueName="[Form_Responses1].[2. On average, how many hours do you sleep at night?].[All]" allUniqueName="[Form_Responses1].[2. On average, how many hours do you sleep at night?].[All]" dimensionUniqueName="[Form_Responses1]" displayFolder="" count="0" memberValueDatatype="20" unbalanced="0"/>
    <cacheHierarchy uniqueName="[Form_Responses1].[3.  How many hours do you spend studying per week?]" caption="3.  How many hours do you spend studying per week?" attribute="1" defaultMemberUniqueName="[Form_Responses1].[3.  How many hours do you spend studying per week?].[All]" allUniqueName="[Form_Responses1].[3.  How many hours do you spend studying per week?].[All]" dimensionUniqueName="[Form_Responses1]" displayFolder="" count="0" memberValueDatatype="20" unbalanced="0"/>
    <cacheHierarchy uniqueName="[Form_Responses1].[4. How many breaks do you take during a study session?]" caption="4. How many breaks do you take during a study session?" attribute="1" defaultMemberUniqueName="[Form_Responses1].[4. How many breaks do you take during a study session?].[All]" allUniqueName="[Form_Responses1].[4. How many breaks do you take during a study session?].[All]" dimensionUniqueName="[Form_Responses1]" displayFolder="" count="0" memberValueDatatype="20" unbalanced="0"/>
    <cacheHierarchy uniqueName="[Form_Responses1].[5. On average, how many classes you attend per day (Monday - Friday)?]" caption="5. On average, how many classes you attend per day (Monday - Friday)?" attribute="1" defaultMemberUniqueName="[Form_Responses1].[5. On average, how many classes you attend per day (Monday - Friday)?].[All]" allUniqueName="[Form_Responses1].[5. On average, how many classes you attend per day (Monday - Friday)?].[All]" dimensionUniqueName="[Form_Responses1]" displayFolder="" count="0" memberValueDatatype="20" unbalanced="0"/>
    <cacheHierarchy uniqueName="[Form_Responses1].[6. On average, how many hours per day do you use digital screens (e.g., laptop etc.) for academic pu]" caption="6. On average, how many hours per day do you use digital screens (e.g., laptop etc.) for academic pu" attribute="1" defaultMemberUniqueName="[Form_Responses1].[6. On average, how many hours per day do you use digital screens (e.g., laptop etc.) for academic pu].[All]" allUniqueName="[Form_Responses1].[6. On average, how many hours per day do you use digital screens (e.g., laptop etc.) for academic pu].[All]" dimensionUniqueName="[Form_Responses1]" displayFolder="" count="0" memberValueDatatype="20" unbalanced="0"/>
    <cacheHierarchy uniqueName="[Form_Responses1].[7. How many assignments did you submit late this semester due to stress?]" caption="7. How many assignments did you submit late this semester due to stress?" attribute="1" defaultMemberUniqueName="[Form_Responses1].[7. How many assignments did you submit late this semester due to stress?].[All]" allUniqueName="[Form_Responses1].[7. How many assignments did you submit late this semester due to stress?].[All]" dimensionUniqueName="[Form_Responses1]" displayFolder="" count="0" memberValueDatatype="20" unbalanced="0"/>
    <cacheHierarchy uniqueName="[Form_Responses1].[8. How many days per week do you feel overwhelmed due to your academic workload?]" caption="8. How many days per week do you feel overwhelmed due to your academic workload?" attribute="1" defaultMemberUniqueName="[Form_Responses1].[8. How many days per week do you feel overwhelmed due to your academic workload?].[All]" allUniqueName="[Form_Responses1].[8. How many days per week do you feel overwhelmed due to your academic workload?].[All]" dimensionUniqueName="[Form_Responses1]" displayFolder="" count="0" memberValueDatatype="20" unbalanced="0"/>
    <cacheHierarchy uniqueName="[Form_Responses1].[9. How many mental health counselling sessions have you attended this semester?]" caption="9. How many mental health counselling sessions have you attended this semester?" attribute="1" defaultMemberUniqueName="[Form_Responses1].[9. How many mental health counselling sessions have you attended this semester?].[All]" allUniqueName="[Form_Responses1].[9. How many mental health counselling sessions have you attended this semester?].[All]" dimensionUniqueName="[Form_Responses1]" displayFolder="" count="0" memberValueDatatype="20" unbalanced="0"/>
    <cacheHierarchy uniqueName="[Form_Responses1].[10. How many rest days do you give yourself per month?]" caption="10. How many rest days do you give yourself per month?" attribute="1" defaultMemberUniqueName="[Form_Responses1].[10. How many rest days do you give yourself per month?].[All]" allUniqueName="[Form_Responses1].[10. How many rest days do you give yourself per month?].[All]" dimensionUniqueName="[Form_Responses1]" displayFolder="" count="0" memberValueDatatype="20" unbalanced="0"/>
    <cacheHierarchy uniqueName="[Form_Responses1].[1. How would you rate your academic stress level?]" caption="1. How would you rate your academic stress level?" attribute="1" defaultMemberUniqueName="[Form_Responses1].[1. How would you rate your academic stress level?].[All]" allUniqueName="[Form_Responses1].[1. How would you rate your academic stress level?].[All]" dimensionUniqueName="[Form_Responses1]" displayFolder="" count="2" memberValueDatatype="130" unbalanced="0">
      <fieldsUsage count="2">
        <fieldUsage x="-1"/>
        <fieldUsage x="0"/>
      </fieldsUsage>
    </cacheHierarchy>
    <cacheHierarchy uniqueName="[Form_Responses1].[2. How often do you feel emotionally drained by academic work?]" caption="2. How often do you feel emotionally drained by academic work?" attribute="1" defaultMemberUniqueName="[Form_Responses1].[2. How often do you feel emotionally drained by academic work?].[All]" allUniqueName="[Form_Responses1].[2. How often do you feel emotionally drained by academic work?].[All]" dimensionUniqueName="[Form_Responses1]" displayFolder="" count="2" memberValueDatatype="130" unbalanced="0">
      <fieldsUsage count="2">
        <fieldUsage x="-1"/>
        <fieldUsage x="1"/>
      </fieldsUsage>
    </cacheHierarchy>
    <cacheHierarchy uniqueName="[Form_Responses1].[3. How severe are your physical stress symptoms (e.g., headaches)?]" caption="3. How severe are your physical stress symptoms (e.g., headaches)?" attribute="1" defaultMemberUniqueName="[Form_Responses1].[3. How severe are your physical stress symptoms (e.g., headaches)?].[All]" allUniqueName="[Form_Responses1].[3. How severe are your physical stress symptoms (e.g., headaches)?].[All]" dimensionUniqueName="[Form_Responses1]" displayFolder="" count="0" memberValueDatatype="130" unbalanced="0"/>
    <cacheHierarchy uniqueName="[Form_Responses1].[4. How often do you procrastinate because of anxiety?]" caption="4. How often do you procrastinate because of anxiety?" attribute="1" defaultMemberUniqueName="[Form_Responses1].[4. How often do you procrastinate because of anxiety?].[All]" allUniqueName="[Form_Responses1].[4. How often do you procrastinate because of anxiety?].[All]" dimensionUniqueName="[Form_Responses1]" displayFolder="" count="0" memberValueDatatype="130" unbalanced="0"/>
    <cacheHierarchy uniqueName="[Form_Responses1].[5. How do you feel after submitting major assignments?]" caption="5. How do you feel after submitting major assignments?" attribute="1" defaultMemberUniqueName="[Form_Responses1].[5. How do you feel after submitting major assignments?].[All]" allUniqueName="[Form_Responses1].[5. How do you feel after submitting major assignments?].[All]" dimensionUniqueName="[Form_Responses1]" displayFolder="" count="0" memberValueDatatype="130" unbalanced="0"/>
    <cacheHierarchy uniqueName="[Form_Responses1].[6. How well do you manage academic pressure?]" caption="6. How well do you manage academic pressure?" attribute="1" defaultMemberUniqueName="[Form_Responses1].[6. How well do you manage academic pressure?].[All]" allUniqueName="[Form_Responses1].[6. How well do you manage academic pressure?].[All]" dimensionUniqueName="[Form_Responses1]" displayFolder="" count="0" memberValueDatatype="130" unbalanced="0"/>
    <cacheHierarchy uniqueName="[Form_Responses1].[7. How would you rate your time management skills?]" caption="7. How would you rate your time management skills?" attribute="1" defaultMemberUniqueName="[Form_Responses1].[7. How would you rate your time management skills?].[All]" allUniqueName="[Form_Responses1].[7. How would you rate your time management skills?].[All]" dimensionUniqueName="[Form_Responses1]" displayFolder="" count="0" memberValueDatatype="130" unbalanced="0"/>
    <cacheHierarchy uniqueName="[Form_Responses1].[8. How often do you practice self-care during semesters?]" caption="8. How often do you practice self-care during semesters?" attribute="1" defaultMemberUniqueName="[Form_Responses1].[8. How often do you practice self-care during semesters?].[All]" allUniqueName="[Form_Responses1].[8. How often do you practice self-care during semesters?].[All]" dimensionUniqueName="[Form_Responses1]" displayFolder="" count="0" memberValueDatatype="130" unbalanced="0"/>
    <cacheHierarchy uniqueName="[Form_Responses1].[9. How often do you feel supported by peers during stress?]" caption="9. How often do you feel supported by peers during stress?" attribute="1" defaultMemberUniqueName="[Form_Responses1].[9. How often do you feel supported by peers during stress?].[All]" allUniqueName="[Form_Responses1].[9. How often do you feel supported by peers during stress?].[All]" dimensionUniqueName="[Form_Responses1]" displayFolder="" count="0" memberValueDatatype="130" unbalanced="0"/>
    <cacheHierarchy uniqueName="[Form_Responses1].[10. How important is mental health at your university?]" caption="10. How important is mental health at your university?" attribute="1" defaultMemberUniqueName="[Form_Responses1].[10. How important is mental health at your university?].[All]" allUniqueName="[Form_Responses1].[10. How important is mental health at your university?].[All]" dimensionUniqueName="[Form_Responses1]" displayFolder="" count="0" memberValueDatatype="130" unbalanced="0"/>
    <cacheHierarchy uniqueName="[Form_Responses1].[1. What is your year of study?]" caption="1. What is your year of study?" attribute="1" defaultMemberUniqueName="[Form_Responses1].[1. What is your year of study?].[All]" allUniqueName="[Form_Responses1].[1. What is your year of study?].[All]" dimensionUniqueName="[Form_Responses1]" displayFolder="" count="0" memberValueDatatype="130" unbalanced="0"/>
    <cacheHierarchy uniqueName="[Form_Responses1].[2. What is your major?]" caption="2. What is your major?" attribute="1" defaultMemberUniqueName="[Form_Responses1].[2. What is your major?].[All]" allUniqueName="[Form_Responses1].[2. What is your major?].[All]" dimensionUniqueName="[Form_Responses1]" displayFolder="" count="0" memberValueDatatype="130" unbalanced="0"/>
    <cacheHierarchy uniqueName="[Form_Responses1].[3. What is your gender?]" caption="3. What is your gender?" attribute="1" defaultMemberUniqueName="[Form_Responses1].[3. What is your gender?].[All]" allUniqueName="[Form_Responses1].[3. What is your gender?].[All]" dimensionUniqueName="[Form_Responses1]" displayFolder="" count="0" memberValueDatatype="130" unbalanced="0"/>
    <cacheHierarchy uniqueName="[Form_Responses1].[4. What type of institution are you at?]" caption="4. What type of institution are you at?" attribute="1" defaultMemberUniqueName="[Form_Responses1].[4. What type of institution are you at?].[All]" allUniqueName="[Form_Responses1].[4. What type of institution are you at?].[All]" dimensionUniqueName="[Form_Responses1]" displayFolder="" count="0" memberValueDatatype="130" unbalanced="0"/>
    <cacheHierarchy uniqueName="[Form_Responses1].[5. What is your preferred stressed coping mechanism?]" caption="5. What is your preferred stressed coping mechanism?" attribute="1" defaultMemberUniqueName="[Form_Responses1].[5. What is your preferred stressed coping mechanism?].[All]" allUniqueName="[Form_Responses1].[5. What is your preferred stressed coping mechanism?].[All]" dimensionUniqueName="[Form_Responses1]" displayFolder="" count="0" memberValueDatatype="130" unbalanced="0"/>
    <cacheHierarchy uniqueName="[Form_Responses1].[6. What stress relief activity do you prefer?]" caption="6. What stress relief activity do you prefer?" attribute="1" defaultMemberUniqueName="[Form_Responses1].[6. What stress relief activity do you prefer?].[All]" allUniqueName="[Form_Responses1].[6. What stress relief activity do you prefer?].[All]" dimensionUniqueName="[Form_Responses1]" displayFolder="" count="0" memberValueDatatype="130" unbalanced="0"/>
    <cacheHierarchy uniqueName="[Form_Responses1].[7. What is your preferred study method?]" caption="7. What is your preferred study method?" attribute="1" defaultMemberUniqueName="[Form_Responses1].[7. What is your preferred study method?].[All]" allUniqueName="[Form_Responses1].[7. What is your preferred study method?].[All]" dimensionUniqueName="[Form_Responses1]" displayFolder="" count="0" memberValueDatatype="130" unbalanced="0"/>
    <cacheHierarchy uniqueName="[Form_Responses1].[8. Which mental health resources do you use?]" caption="8. Which mental health resources do you use?" attribute="1" defaultMemberUniqueName="[Form_Responses1].[8. Which mental health resources do you use?].[All]" allUniqueName="[Form_Responses1].[8. Which mental health resources do you use?].[All]" dimensionUniqueName="[Form_Responses1]" displayFolder="" count="0" memberValueDatatype="130" unbalanced="0"/>
    <cacheHierarchy uniqueName="[Form_Responses1].[9. What contributes most to your academic stress?]" caption="9. What contributes most to your academic stress?" attribute="1" defaultMemberUniqueName="[Form_Responses1].[9. What contributes most to your academic stress?].[All]" allUniqueName="[Form_Responses1].[9. What contributes most to your academic stress?].[All]" dimensionUniqueName="[Form_Responses1]" displayFolder="" count="0" memberValueDatatype="130" unbalanced="0"/>
    <cacheHierarchy uniqueName="[Form_Responses1].[10. Which social media do you use most (affecting stress)?]" caption="10. Which social media do you use most (affecting stress)?" attribute="1" defaultMemberUniqueName="[Form_Responses1].[10. Which social media do you use most (affecting stress)?].[All]" allUniqueName="[Form_Responses1].[10. Which social media do you use most (affecting stress)?].[All]" dimensionUniqueName="[Form_Responses1]" displayFolder="" count="0" memberValueDatatype="130" unbalanced="0"/>
    <cacheHierarchy uniqueName="[Form_Responses1].[Rate each statement based on your own experiences. [I feel stress during finals week.]]]" caption="Rate each statement based on your own experiences. [I feel stress during finals week.]" attribute="1" defaultMemberUniqueName="[Form_Responses1].[Rate each statement based on your own experiences. [I feel stress during finals week.]]].[All]" allUniqueName="[Form_Responses1].[Rate each statement based on your own experiences. [I feel stress during finals week.]]].[All]" dimensionUniqueName="[Form_Responses1]" displayFolder="" count="0" memberValueDatatype="20" unbalanced="0"/>
    <cacheHierarchy uniqueName="[Form_Responses1].[Rate each statement based on your own experiences. [I often feel anxious.]]]" caption="Rate each statement based on your own experiences. [I often feel anxious.]" attribute="1" defaultMemberUniqueName="[Form_Responses1].[Rate each statement based on your own experiences. [I often feel anxious.]]].[All]" allUniqueName="[Form_Responses1].[Rate each statement based on your own experiences. [I often feel anxious.]]].[All]" dimensionUniqueName="[Form_Responses1]" displayFolder="" count="0" memberValueDatatype="20" unbalanced="0"/>
    <cacheHierarchy uniqueName="[Form_Responses1].[Rate each statement based on your own experiences. [I frequently experience burnout.]]]" caption="Rate each statement based on your own experiences. [I frequently experience burnout.]" attribute="1" defaultMemberUniqueName="[Form_Responses1].[Rate each statement based on your own experiences. [I frequently experience burnout.]]].[All]" allUniqueName="[Form_Responses1].[Rate each statement based on your own experiences. [I frequently experience burnout.]]].[All]" dimensionUniqueName="[Form_Responses1]" displayFolder="" count="0" memberValueDatatype="20" unbalanced="0"/>
    <cacheHierarchy uniqueName="[Form_Responses1].[Rate each statement based on your own experiences. [I feel pressured to maintain academic performanc]" caption="Rate each statement based on your own experiences. [I feel pressured to maintain academic performanc" attribute="1" defaultMemberUniqueName="[Form_Responses1].[Rate each statement based on your own experiences. [I feel pressured to maintain academic performanc].[All]" allUniqueName="[Form_Responses1].[Rate each statement based on your own experiences. [I feel pressured to maintain academic performanc].[All]" dimensionUniqueName="[Form_Responses1]" displayFolder="" count="0" memberValueDatatype="20" unbalanced="0"/>
    <cacheHierarchy uniqueName="[Form_Responses1].[Rate each statement based on your own experiences. [I am confident in managing my stress.]]]" caption="Rate each statement based on your own experiences. [I am confident in managing my stress.]" attribute="1" defaultMemberUniqueName="[Form_Responses1].[Rate each statement based on your own experiences. [I am confident in managing my stress.]]].[All]" allUniqueName="[Form_Responses1].[Rate each statement based on your own experiences. [I am confident in managing my stress.]]].[All]" dimensionUniqueName="[Form_Responses1]" displayFolder="" count="0" memberValueDatatype="20" unbalanced="0"/>
    <cacheHierarchy uniqueName="[Form_Responses1].[Rate each statement based on your own experiences. [I feel good about my emotional well-being.]]]" caption="Rate each statement based on your own experiences. [I feel good about my emotional well-being.]" attribute="1" defaultMemberUniqueName="[Form_Responses1].[Rate each statement based on your own experiences. [I feel good about my emotional well-being.]]].[All]" allUniqueName="[Form_Responses1].[Rate each statement based on your own experiences. [I feel good about my emotional well-being.]]].[All]" dimensionUniqueName="[Form_Responses1]" displayFolder="" count="0" memberValueDatatype="20" unbalanced="0"/>
    <cacheHierarchy uniqueName="[Form_Responses1].[Rate each statement based on your own experiences. [I have high energy levels during the semester.]]]" caption="Rate each statement based on your own experiences. [I have high energy levels during the semester.]" attribute="1" defaultMemberUniqueName="[Form_Responses1].[Rate each statement based on your own experiences. [I have high energy levels during the semester.]]].[All]" allUniqueName="[Form_Responses1].[Rate each statement based on your own experiences. [I have high energy levels during the semester.]]].[All]" dimensionUniqueName="[Form_Responses1]" displayFolder="" count="0" memberValueDatatype="20" unbalanced="0"/>
    <cacheHierarchy uniqueName="[Form_Responses1].[Rate each statement based on your own experiences. [I can concentrate well on my tasks.]]]" caption="Rate each statement based on your own experiences. [I can concentrate well on my tasks.]" attribute="1" defaultMemberUniqueName="[Form_Responses1].[Rate each statement based on your own experiences. [I can concentrate well on my tasks.]]].[All]" allUniqueName="[Form_Responses1].[Rate each statement based on your own experiences. [I can concentrate well on my tasks.]]].[All]" dimensionUniqueName="[Form_Responses1]" displayFolder="" count="0" memberValueDatatype="20" unbalanced="0"/>
    <cacheHierarchy uniqueName="[Form_Responses1].[Rate each statement based on your own experiences. [I sleep well during exam periods.]]]" caption="Rate each statement based on your own experiences. [I sleep well during exam periods.]" attribute="1" defaultMemberUniqueName="[Form_Responses1].[Rate each statement based on your own experiences. [I sleep well during exam periods.]]].[All]" allUniqueName="[Form_Responses1].[Rate each statement based on your own experiences. [I sleep well during exam periods.]]].[All]" dimensionUniqueName="[Form_Responses1]" displayFolder="" count="0" memberValueDatatype="20" unbalanced="0"/>
    <cacheHierarchy uniqueName="[Form_Responses1].[Rate each statement based on your own experiences. [I am satisfied with the mental health support av]" caption="Rate each statement based on your own experiences. [I am satisfied with the mental health support av" attribute="1" defaultMemberUniqueName="[Form_Responses1].[Rate each statement based on your own experiences. [I am satisfied with the mental health support av].[All]" allUniqueName="[Form_Responses1].[Rate each statement based on your own experiences. [I am satisfied with the mental health support av].[All]" dimensionUniqueName="[Form_Responses1]" displayFolder="" count="0" memberValueDatatype="20" unbalanced="0"/>
    <cacheHierarchy uniqueName="[Range].[22]" caption="22" attribute="1" defaultMemberUniqueName="[Range].[22].[All]" allUniqueName="[Range].[22].[All]" dimensionUniqueName="[Range]" displayFolder="" count="0" memberValueDatatype="20" unbalanced="0"/>
    <cacheHierarchy uniqueName="[Range 1].[Moderate]" caption="Moderate" attribute="1" defaultMemberUniqueName="[Range 1].[Moderate].[All]" allUniqueName="[Range 1].[Moderate].[All]" dimensionUniqueName="[Range 1]" displayFolder="" count="0" memberValueDatatype="130" unbalanced="0"/>
    <cacheHierarchy uniqueName="[Range 2].[2nd year]" caption="2nd year" attribute="1" defaultMemberUniqueName="[Range 2].[2nd year].[All]" allUniqueName="[Range 2].[2nd year].[All]" dimensionUniqueName="[Range 2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Form_Responses1]" caption="__XL_Count Form_Responses1" measure="1" displayFolder="" measureGroup="Form_Responses1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3.  How many hours do you spend studying per week?]" caption="Sum of 3.  How many hours do you spend studying per week?" measure="1" displayFolder="" measureGroup="Form_Responses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3. How severe are your physical stress symptoms (e.g., headaches)?]" caption="Count of 3. How severe are your physical stress symptoms (e.g., headaches)?" measure="1" displayFolder="" measureGroup="Form_Responses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3. What is your gender?]" caption="Count of 3. What is your gender?" measure="1" displayFolder="" measureGroup="Form_Responses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5">
    <dimension name="Form_Responses1" uniqueName="[Form_Responses1]" caption="Form_Responses1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4">
    <measureGroup name="Form_Responses1" caption="Form_Responses1"/>
    <measureGroup name="Range" caption="Range"/>
    <measureGroup name="Range 1" caption="Range 1"/>
    <measureGroup name="Range 2" caption="Range 2"/>
  </measureGroups>
  <maps count="4">
    <map measureGroup="0" dimension="0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iba tariq" refreshedDate="45778.525364814814" backgroundQuery="1" createdVersion="8" refreshedVersion="8" minRefreshableVersion="3" recordCount="0" supportSubquery="1" supportAdvancedDrill="1" xr:uid="{4F9DF85B-CEC8-47A3-A41F-9148894D71BB}">
  <cacheSource type="external" connectionId="1"/>
  <cacheFields count="3">
    <cacheField name="[Form_Responses1].[1. What is your year of study?].[1. What is your year of study?]" caption="1. What is your year of study?" numFmtId="0" hierarchy="21" level="1">
      <sharedItems count="4">
        <s v="1st year"/>
        <s v="2nd year"/>
        <s v="3rd year"/>
        <s v="4th year"/>
      </sharedItems>
    </cacheField>
    <cacheField name="[Form_Responses1].[2. What is your major?].[2. What is your major?]" caption="2. What is your major?" numFmtId="0" hierarchy="22" level="1">
      <sharedItems count="3">
        <s v="Business"/>
        <s v="Engineering"/>
        <s v="Sciences"/>
      </sharedItems>
    </cacheField>
    <cacheField name="[Measures].[Count of 3. What is your gender?]" caption="Count of 3. What is your gender?" numFmtId="0" hierarchy="51" level="32767"/>
  </cacheFields>
  <cacheHierarchies count="52">
    <cacheHierarchy uniqueName="[Form_Responses1].[Timestamp]" caption="Timestamp" attribute="1" time="1" defaultMemberUniqueName="[Form_Responses1].[Timestamp].[All]" allUniqueName="[Form_Responses1].[Timestamp].[All]" dimensionUniqueName="[Form_Responses1]" displayFolder="" count="0" memberValueDatatype="7" unbalanced="0"/>
    <cacheHierarchy uniqueName="[Form_Responses1].[1. How old are you (in years)?]" caption="1. How old are you (in years)?" attribute="1" defaultMemberUniqueName="[Form_Responses1].[1. How old are you (in years)?].[All]" allUniqueName="[Form_Responses1].[1. How old are you (in years)?].[All]" dimensionUniqueName="[Form_Responses1]" displayFolder="" count="0" memberValueDatatype="20" unbalanced="0"/>
    <cacheHierarchy uniqueName="[Form_Responses1].[2. On average, how many hours do you sleep at night?]" caption="2. On average, how many hours do you sleep at night?" attribute="1" defaultMemberUniqueName="[Form_Responses1].[2. On average, how many hours do you sleep at night?].[All]" allUniqueName="[Form_Responses1].[2. On average, how many hours do you sleep at night?].[All]" dimensionUniqueName="[Form_Responses1]" displayFolder="" count="0" memberValueDatatype="20" unbalanced="0"/>
    <cacheHierarchy uniqueName="[Form_Responses1].[3.  How many hours do you spend studying per week?]" caption="3.  How many hours do you spend studying per week?" attribute="1" defaultMemberUniqueName="[Form_Responses1].[3.  How many hours do you spend studying per week?].[All]" allUniqueName="[Form_Responses1].[3.  How many hours do you spend studying per week?].[All]" dimensionUniqueName="[Form_Responses1]" displayFolder="" count="0" memberValueDatatype="20" unbalanced="0"/>
    <cacheHierarchy uniqueName="[Form_Responses1].[4. How many breaks do you take during a study session?]" caption="4. How many breaks do you take during a study session?" attribute="1" defaultMemberUniqueName="[Form_Responses1].[4. How many breaks do you take during a study session?].[All]" allUniqueName="[Form_Responses1].[4. How many breaks do you take during a study session?].[All]" dimensionUniqueName="[Form_Responses1]" displayFolder="" count="0" memberValueDatatype="20" unbalanced="0"/>
    <cacheHierarchy uniqueName="[Form_Responses1].[5. On average, how many classes you attend per day (Monday - Friday)?]" caption="5. On average, how many classes you attend per day (Monday - Friday)?" attribute="1" defaultMemberUniqueName="[Form_Responses1].[5. On average, how many classes you attend per day (Monday - Friday)?].[All]" allUniqueName="[Form_Responses1].[5. On average, how many classes you attend per day (Monday - Friday)?].[All]" dimensionUniqueName="[Form_Responses1]" displayFolder="" count="0" memberValueDatatype="20" unbalanced="0"/>
    <cacheHierarchy uniqueName="[Form_Responses1].[6. On average, how many hours per day do you use digital screens (e.g., laptop etc.) for academic pu]" caption="6. On average, how many hours per day do you use digital screens (e.g., laptop etc.) for academic pu" attribute="1" defaultMemberUniqueName="[Form_Responses1].[6. On average, how many hours per day do you use digital screens (e.g., laptop etc.) for academic pu].[All]" allUniqueName="[Form_Responses1].[6. On average, how many hours per day do you use digital screens (e.g., laptop etc.) for academic pu].[All]" dimensionUniqueName="[Form_Responses1]" displayFolder="" count="0" memberValueDatatype="20" unbalanced="0"/>
    <cacheHierarchy uniqueName="[Form_Responses1].[7. How many assignments did you submit late this semester due to stress?]" caption="7. How many assignments did you submit late this semester due to stress?" attribute="1" defaultMemberUniqueName="[Form_Responses1].[7. How many assignments did you submit late this semester due to stress?].[All]" allUniqueName="[Form_Responses1].[7. How many assignments did you submit late this semester due to stress?].[All]" dimensionUniqueName="[Form_Responses1]" displayFolder="" count="0" memberValueDatatype="20" unbalanced="0"/>
    <cacheHierarchy uniqueName="[Form_Responses1].[8. How many days per week do you feel overwhelmed due to your academic workload?]" caption="8. How many days per week do you feel overwhelmed due to your academic workload?" attribute="1" defaultMemberUniqueName="[Form_Responses1].[8. How many days per week do you feel overwhelmed due to your academic workload?].[All]" allUniqueName="[Form_Responses1].[8. How many days per week do you feel overwhelmed due to your academic workload?].[All]" dimensionUniqueName="[Form_Responses1]" displayFolder="" count="0" memberValueDatatype="20" unbalanced="0"/>
    <cacheHierarchy uniqueName="[Form_Responses1].[9. How many mental health counselling sessions have you attended this semester?]" caption="9. How many mental health counselling sessions have you attended this semester?" attribute="1" defaultMemberUniqueName="[Form_Responses1].[9. How many mental health counselling sessions have you attended this semester?].[All]" allUniqueName="[Form_Responses1].[9. How many mental health counselling sessions have you attended this semester?].[All]" dimensionUniqueName="[Form_Responses1]" displayFolder="" count="0" memberValueDatatype="20" unbalanced="0"/>
    <cacheHierarchy uniqueName="[Form_Responses1].[10. How many rest days do you give yourself per month?]" caption="10. How many rest days do you give yourself per month?" attribute="1" defaultMemberUniqueName="[Form_Responses1].[10. How many rest days do you give yourself per month?].[All]" allUniqueName="[Form_Responses1].[10. How many rest days do you give yourself per month?].[All]" dimensionUniqueName="[Form_Responses1]" displayFolder="" count="0" memberValueDatatype="20" unbalanced="0"/>
    <cacheHierarchy uniqueName="[Form_Responses1].[1. How would you rate your academic stress level?]" caption="1. How would you rate your academic stress level?" attribute="1" defaultMemberUniqueName="[Form_Responses1].[1. How would you rate your academic stress level?].[All]" allUniqueName="[Form_Responses1].[1. How would you rate your academic stress level?].[All]" dimensionUniqueName="[Form_Responses1]" displayFolder="" count="0" memberValueDatatype="130" unbalanced="0"/>
    <cacheHierarchy uniqueName="[Form_Responses1].[2. How often do you feel emotionally drained by academic work?]" caption="2. How often do you feel emotionally drained by academic work?" attribute="1" defaultMemberUniqueName="[Form_Responses1].[2. How often do you feel emotionally drained by academic work?].[All]" allUniqueName="[Form_Responses1].[2. How often do you feel emotionally drained by academic work?].[All]" dimensionUniqueName="[Form_Responses1]" displayFolder="" count="0" memberValueDatatype="130" unbalanced="0"/>
    <cacheHierarchy uniqueName="[Form_Responses1].[3. How severe are your physical stress symptoms (e.g., headaches)?]" caption="3. How severe are your physical stress symptoms (e.g., headaches)?" attribute="1" defaultMemberUniqueName="[Form_Responses1].[3. How severe are your physical stress symptoms (e.g., headaches)?].[All]" allUniqueName="[Form_Responses1].[3. How severe are your physical stress symptoms (e.g., headaches)?].[All]" dimensionUniqueName="[Form_Responses1]" displayFolder="" count="0" memberValueDatatype="130" unbalanced="0"/>
    <cacheHierarchy uniqueName="[Form_Responses1].[4. How often do you procrastinate because of anxiety?]" caption="4. How often do you procrastinate because of anxiety?" attribute="1" defaultMemberUniqueName="[Form_Responses1].[4. How often do you procrastinate because of anxiety?].[All]" allUniqueName="[Form_Responses1].[4. How often do you procrastinate because of anxiety?].[All]" dimensionUniqueName="[Form_Responses1]" displayFolder="" count="0" memberValueDatatype="130" unbalanced="0"/>
    <cacheHierarchy uniqueName="[Form_Responses1].[5. How do you feel after submitting major assignments?]" caption="5. How do you feel after submitting major assignments?" attribute="1" defaultMemberUniqueName="[Form_Responses1].[5. How do you feel after submitting major assignments?].[All]" allUniqueName="[Form_Responses1].[5. How do you feel after submitting major assignments?].[All]" dimensionUniqueName="[Form_Responses1]" displayFolder="" count="0" memberValueDatatype="130" unbalanced="0"/>
    <cacheHierarchy uniqueName="[Form_Responses1].[6. How well do you manage academic pressure?]" caption="6. How well do you manage academic pressure?" attribute="1" defaultMemberUniqueName="[Form_Responses1].[6. How well do you manage academic pressure?].[All]" allUniqueName="[Form_Responses1].[6. How well do you manage academic pressure?].[All]" dimensionUniqueName="[Form_Responses1]" displayFolder="" count="0" memberValueDatatype="130" unbalanced="0"/>
    <cacheHierarchy uniqueName="[Form_Responses1].[7. How would you rate your time management skills?]" caption="7. How would you rate your time management skills?" attribute="1" defaultMemberUniqueName="[Form_Responses1].[7. How would you rate your time management skills?].[All]" allUniqueName="[Form_Responses1].[7. How would you rate your time management skills?].[All]" dimensionUniqueName="[Form_Responses1]" displayFolder="" count="0" memberValueDatatype="130" unbalanced="0"/>
    <cacheHierarchy uniqueName="[Form_Responses1].[8. How often do you practice self-care during semesters?]" caption="8. How often do you practice self-care during semesters?" attribute="1" defaultMemberUniqueName="[Form_Responses1].[8. How often do you practice self-care during semesters?].[All]" allUniqueName="[Form_Responses1].[8. How often do you practice self-care during semesters?].[All]" dimensionUniqueName="[Form_Responses1]" displayFolder="" count="0" memberValueDatatype="130" unbalanced="0"/>
    <cacheHierarchy uniqueName="[Form_Responses1].[9. How often do you feel supported by peers during stress?]" caption="9. How often do you feel supported by peers during stress?" attribute="1" defaultMemberUniqueName="[Form_Responses1].[9. How often do you feel supported by peers during stress?].[All]" allUniqueName="[Form_Responses1].[9. How often do you feel supported by peers during stress?].[All]" dimensionUniqueName="[Form_Responses1]" displayFolder="" count="0" memberValueDatatype="130" unbalanced="0"/>
    <cacheHierarchy uniqueName="[Form_Responses1].[10. How important is mental health at your university?]" caption="10. How important is mental health at your university?" attribute="1" defaultMemberUniqueName="[Form_Responses1].[10. How important is mental health at your university?].[All]" allUniqueName="[Form_Responses1].[10. How important is mental health at your university?].[All]" dimensionUniqueName="[Form_Responses1]" displayFolder="" count="0" memberValueDatatype="130" unbalanced="0"/>
    <cacheHierarchy uniqueName="[Form_Responses1].[1. What is your year of study?]" caption="1. What is your year of study?" attribute="1" defaultMemberUniqueName="[Form_Responses1].[1. What is your year of study?].[All]" allUniqueName="[Form_Responses1].[1. What is your year of study?].[All]" dimensionUniqueName="[Form_Responses1]" displayFolder="" count="2" memberValueDatatype="130" unbalanced="0">
      <fieldsUsage count="2">
        <fieldUsage x="-1"/>
        <fieldUsage x="0"/>
      </fieldsUsage>
    </cacheHierarchy>
    <cacheHierarchy uniqueName="[Form_Responses1].[2. What is your major?]" caption="2. What is your major?" attribute="1" defaultMemberUniqueName="[Form_Responses1].[2. What is your major?].[All]" allUniqueName="[Form_Responses1].[2. What is your major?].[All]" dimensionUniqueName="[Form_Responses1]" displayFolder="" count="2" memberValueDatatype="130" unbalanced="0">
      <fieldsUsage count="2">
        <fieldUsage x="-1"/>
        <fieldUsage x="1"/>
      </fieldsUsage>
    </cacheHierarchy>
    <cacheHierarchy uniqueName="[Form_Responses1].[3. What is your gender?]" caption="3. What is your gender?" attribute="1" defaultMemberUniqueName="[Form_Responses1].[3. What is your gender?].[All]" allUniqueName="[Form_Responses1].[3. What is your gender?].[All]" dimensionUniqueName="[Form_Responses1]" displayFolder="" count="0" memberValueDatatype="130" unbalanced="0"/>
    <cacheHierarchy uniqueName="[Form_Responses1].[4. What type of institution are you at?]" caption="4. What type of institution are you at?" attribute="1" defaultMemberUniqueName="[Form_Responses1].[4. What type of institution are you at?].[All]" allUniqueName="[Form_Responses1].[4. What type of institution are you at?].[All]" dimensionUniqueName="[Form_Responses1]" displayFolder="" count="0" memberValueDatatype="130" unbalanced="0"/>
    <cacheHierarchy uniqueName="[Form_Responses1].[5. What is your preferred stressed coping mechanism?]" caption="5. What is your preferred stressed coping mechanism?" attribute="1" defaultMemberUniqueName="[Form_Responses1].[5. What is your preferred stressed coping mechanism?].[All]" allUniqueName="[Form_Responses1].[5. What is your preferred stressed coping mechanism?].[All]" dimensionUniqueName="[Form_Responses1]" displayFolder="" count="0" memberValueDatatype="130" unbalanced="0"/>
    <cacheHierarchy uniqueName="[Form_Responses1].[6. What stress relief activity do you prefer?]" caption="6. What stress relief activity do you prefer?" attribute="1" defaultMemberUniqueName="[Form_Responses1].[6. What stress relief activity do you prefer?].[All]" allUniqueName="[Form_Responses1].[6. What stress relief activity do you prefer?].[All]" dimensionUniqueName="[Form_Responses1]" displayFolder="" count="0" memberValueDatatype="130" unbalanced="0"/>
    <cacheHierarchy uniqueName="[Form_Responses1].[7. What is your preferred study method?]" caption="7. What is your preferred study method?" attribute="1" defaultMemberUniqueName="[Form_Responses1].[7. What is your preferred study method?].[All]" allUniqueName="[Form_Responses1].[7. What is your preferred study method?].[All]" dimensionUniqueName="[Form_Responses1]" displayFolder="" count="0" memberValueDatatype="130" unbalanced="0"/>
    <cacheHierarchy uniqueName="[Form_Responses1].[8. Which mental health resources do you use?]" caption="8. Which mental health resources do you use?" attribute="1" defaultMemberUniqueName="[Form_Responses1].[8. Which mental health resources do you use?].[All]" allUniqueName="[Form_Responses1].[8. Which mental health resources do you use?].[All]" dimensionUniqueName="[Form_Responses1]" displayFolder="" count="0" memberValueDatatype="130" unbalanced="0"/>
    <cacheHierarchy uniqueName="[Form_Responses1].[9. What contributes most to your academic stress?]" caption="9. What contributes most to your academic stress?" attribute="1" defaultMemberUniqueName="[Form_Responses1].[9. What contributes most to your academic stress?].[All]" allUniqueName="[Form_Responses1].[9. What contributes most to your academic stress?].[All]" dimensionUniqueName="[Form_Responses1]" displayFolder="" count="0" memberValueDatatype="130" unbalanced="0"/>
    <cacheHierarchy uniqueName="[Form_Responses1].[10. Which social media do you use most (affecting stress)?]" caption="10. Which social media do you use most (affecting stress)?" attribute="1" defaultMemberUniqueName="[Form_Responses1].[10. Which social media do you use most (affecting stress)?].[All]" allUniqueName="[Form_Responses1].[10. Which social media do you use most (affecting stress)?].[All]" dimensionUniqueName="[Form_Responses1]" displayFolder="" count="0" memberValueDatatype="130" unbalanced="0"/>
    <cacheHierarchy uniqueName="[Form_Responses1].[Rate each statement based on your own experiences. [I feel stress during finals week.]]]" caption="Rate each statement based on your own experiences. [I feel stress during finals week.]" attribute="1" defaultMemberUniqueName="[Form_Responses1].[Rate each statement based on your own experiences. [I feel stress during finals week.]]].[All]" allUniqueName="[Form_Responses1].[Rate each statement based on your own experiences. [I feel stress during finals week.]]].[All]" dimensionUniqueName="[Form_Responses1]" displayFolder="" count="0" memberValueDatatype="20" unbalanced="0"/>
    <cacheHierarchy uniqueName="[Form_Responses1].[Rate each statement based on your own experiences. [I often feel anxious.]]]" caption="Rate each statement based on your own experiences. [I often feel anxious.]" attribute="1" defaultMemberUniqueName="[Form_Responses1].[Rate each statement based on your own experiences. [I often feel anxious.]]].[All]" allUniqueName="[Form_Responses1].[Rate each statement based on your own experiences. [I often feel anxious.]]].[All]" dimensionUniqueName="[Form_Responses1]" displayFolder="" count="0" memberValueDatatype="20" unbalanced="0"/>
    <cacheHierarchy uniqueName="[Form_Responses1].[Rate each statement based on your own experiences. [I frequently experience burnout.]]]" caption="Rate each statement based on your own experiences. [I frequently experience burnout.]" attribute="1" defaultMemberUniqueName="[Form_Responses1].[Rate each statement based on your own experiences. [I frequently experience burnout.]]].[All]" allUniqueName="[Form_Responses1].[Rate each statement based on your own experiences. [I frequently experience burnout.]]].[All]" dimensionUniqueName="[Form_Responses1]" displayFolder="" count="0" memberValueDatatype="20" unbalanced="0"/>
    <cacheHierarchy uniqueName="[Form_Responses1].[Rate each statement based on your own experiences. [I feel pressured to maintain academic performanc]" caption="Rate each statement based on your own experiences. [I feel pressured to maintain academic performanc" attribute="1" defaultMemberUniqueName="[Form_Responses1].[Rate each statement based on your own experiences. [I feel pressured to maintain academic performanc].[All]" allUniqueName="[Form_Responses1].[Rate each statement based on your own experiences. [I feel pressured to maintain academic performanc].[All]" dimensionUniqueName="[Form_Responses1]" displayFolder="" count="0" memberValueDatatype="20" unbalanced="0"/>
    <cacheHierarchy uniqueName="[Form_Responses1].[Rate each statement based on your own experiences. [I am confident in managing my stress.]]]" caption="Rate each statement based on your own experiences. [I am confident in managing my stress.]" attribute="1" defaultMemberUniqueName="[Form_Responses1].[Rate each statement based on your own experiences. [I am confident in managing my stress.]]].[All]" allUniqueName="[Form_Responses1].[Rate each statement based on your own experiences. [I am confident in managing my stress.]]].[All]" dimensionUniqueName="[Form_Responses1]" displayFolder="" count="0" memberValueDatatype="20" unbalanced="0"/>
    <cacheHierarchy uniqueName="[Form_Responses1].[Rate each statement based on your own experiences. [I feel good about my emotional well-being.]]]" caption="Rate each statement based on your own experiences. [I feel good about my emotional well-being.]" attribute="1" defaultMemberUniqueName="[Form_Responses1].[Rate each statement based on your own experiences. [I feel good about my emotional well-being.]]].[All]" allUniqueName="[Form_Responses1].[Rate each statement based on your own experiences. [I feel good about my emotional well-being.]]].[All]" dimensionUniqueName="[Form_Responses1]" displayFolder="" count="0" memberValueDatatype="20" unbalanced="0"/>
    <cacheHierarchy uniqueName="[Form_Responses1].[Rate each statement based on your own experiences. [I have high energy levels during the semester.]]]" caption="Rate each statement based on your own experiences. [I have high energy levels during the semester.]" attribute="1" defaultMemberUniqueName="[Form_Responses1].[Rate each statement based on your own experiences. [I have high energy levels during the semester.]]].[All]" allUniqueName="[Form_Responses1].[Rate each statement based on your own experiences. [I have high energy levels during the semester.]]].[All]" dimensionUniqueName="[Form_Responses1]" displayFolder="" count="0" memberValueDatatype="20" unbalanced="0"/>
    <cacheHierarchy uniqueName="[Form_Responses1].[Rate each statement based on your own experiences. [I can concentrate well on my tasks.]]]" caption="Rate each statement based on your own experiences. [I can concentrate well on my tasks.]" attribute="1" defaultMemberUniqueName="[Form_Responses1].[Rate each statement based on your own experiences. [I can concentrate well on my tasks.]]].[All]" allUniqueName="[Form_Responses1].[Rate each statement based on your own experiences. [I can concentrate well on my tasks.]]].[All]" dimensionUniqueName="[Form_Responses1]" displayFolder="" count="0" memberValueDatatype="20" unbalanced="0"/>
    <cacheHierarchy uniqueName="[Form_Responses1].[Rate each statement based on your own experiences. [I sleep well during exam periods.]]]" caption="Rate each statement based on your own experiences. [I sleep well during exam periods.]" attribute="1" defaultMemberUniqueName="[Form_Responses1].[Rate each statement based on your own experiences. [I sleep well during exam periods.]]].[All]" allUniqueName="[Form_Responses1].[Rate each statement based on your own experiences. [I sleep well during exam periods.]]].[All]" dimensionUniqueName="[Form_Responses1]" displayFolder="" count="0" memberValueDatatype="20" unbalanced="0"/>
    <cacheHierarchy uniqueName="[Form_Responses1].[Rate each statement based on your own experiences. [I am satisfied with the mental health support av]" caption="Rate each statement based on your own experiences. [I am satisfied with the mental health support av" attribute="1" defaultMemberUniqueName="[Form_Responses1].[Rate each statement based on your own experiences. [I am satisfied with the mental health support av].[All]" allUniqueName="[Form_Responses1].[Rate each statement based on your own experiences. [I am satisfied with the mental health support av].[All]" dimensionUniqueName="[Form_Responses1]" displayFolder="" count="0" memberValueDatatype="20" unbalanced="0"/>
    <cacheHierarchy uniqueName="[Range].[22]" caption="22" attribute="1" defaultMemberUniqueName="[Range].[22].[All]" allUniqueName="[Range].[22].[All]" dimensionUniqueName="[Range]" displayFolder="" count="0" memberValueDatatype="20" unbalanced="0"/>
    <cacheHierarchy uniqueName="[Range 1].[Moderate]" caption="Moderate" attribute="1" defaultMemberUniqueName="[Range 1].[Moderate].[All]" allUniqueName="[Range 1].[Moderate].[All]" dimensionUniqueName="[Range 1]" displayFolder="" count="0" memberValueDatatype="130" unbalanced="0"/>
    <cacheHierarchy uniqueName="[Range 2].[2nd year]" caption="2nd year" attribute="1" defaultMemberUniqueName="[Range 2].[2nd year].[All]" allUniqueName="[Range 2].[2nd year].[All]" dimensionUniqueName="[Range 2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Form_Responses1]" caption="__XL_Count Form_Responses1" measure="1" displayFolder="" measureGroup="Form_Responses1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3.  How many hours do you spend studying per week?]" caption="Sum of 3.  How many hours do you spend studying per week?" measure="1" displayFolder="" measureGroup="Form_Responses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3. How severe are your physical stress symptoms (e.g., headaches)?]" caption="Count of 3. How severe are your physical stress symptoms (e.g., headaches)?" measure="1" displayFolder="" measureGroup="Form_Responses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3. What is your gender?]" caption="Count of 3. What is your gender?" measure="1" displayFolder="" measureGroup="Form_Responses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5">
    <dimension name="Form_Responses1" uniqueName="[Form_Responses1]" caption="Form_Responses1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4">
    <measureGroup name="Form_Responses1" caption="Form_Responses1"/>
    <measureGroup name="Range" caption="Range"/>
    <measureGroup name="Range 1" caption="Range 1"/>
    <measureGroup name="Range 2" caption="Range 2"/>
  </measureGroups>
  <maps count="4">
    <map measureGroup="0" dimension="0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7E92F0-84E1-4584-B028-5018AEDF19B0}" name="PivotTable6" cacheId="26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Emotionally Drainage " colHeaderCaption="Stress Levels ">
  <location ref="A55:F61" firstHeaderRow="1" firstDataRow="2" firstDataCol="1"/>
  <pivotFields count="3">
    <pivotField axis="axisCol" allDrilled="1" showAll="0" dataSourceSort="1" defaultAttributeDrillState="1">
      <items count="5">
        <item x="0"/>
        <item x="1"/>
        <item x="2"/>
        <item x="3"/>
        <item t="default"/>
      </items>
    </pivotField>
    <pivotField axis="axisRow" allDrilled="1" showAll="0" dataSourceSort="1" defaultAttributeDrillState="1">
      <items count="5">
        <item x="0"/>
        <item x="1"/>
        <item x="2"/>
        <item x="3"/>
        <item t="default"/>
      </items>
    </pivotField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Count of 3. How severe are your physical stress symptoms (e.g., headaches)?" fld="2" subtotal="count" baseField="0" baseItem="0"/>
  </dataFields>
  <formats count="9">
    <format dxfId="17">
      <pivotArea type="origin" dataOnly="0" labelOnly="1" outline="0" fieldPosition="0"/>
    </format>
    <format dxfId="16">
      <pivotArea field="0" type="button" dataOnly="0" labelOnly="1" outline="0" axis="axisCol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0" count="1">
            <x v="0"/>
          </reference>
        </references>
      </pivotArea>
    </format>
    <format dxfId="13">
      <pivotArea dataOnly="0" labelOnly="1" fieldPosition="0">
        <references count="1">
          <reference field="0" count="1">
            <x v="1"/>
          </reference>
        </references>
      </pivotArea>
    </format>
    <format dxfId="12">
      <pivotArea dataOnly="0" labelOnly="1" fieldPosition="0">
        <references count="1">
          <reference field="0" count="1">
            <x v="2"/>
          </reference>
        </references>
      </pivotArea>
    </format>
    <format dxfId="11">
      <pivotArea dataOnly="0" labelOnly="1" fieldPosition="0">
        <references count="1">
          <reference field="0" count="1">
            <x v="3"/>
          </reference>
        </references>
      </pivotArea>
    </format>
    <format dxfId="10">
      <pivotArea dataOnly="0" labelOnly="1" grandCol="1" outline="0" fieldPosition="0"/>
    </format>
    <format dxfId="9">
      <pivotArea dataOnly="0" labelOnly="1" grandRow="1" outline="0" fieldPosition="0"/>
    </format>
  </formats>
  <pivotHierarchies count="5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showRowHeaders="1" showColHeaders="1" showRowStripes="0" showColStripes="0" showLastColumn="1"/>
  <rowHierarchiesUsage count="1">
    <rowHierarchyUsage hierarchyUsage="12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 1]"/>
        <x15:activeTabTopLevelEntity name="[Form_Responses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74FE9C-A5F3-4D09-9673-020376FE94B7}" name="PivotTable11" cacheId="2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ajor" colHeaderCaption="Year ">
  <location ref="D3:I8" firstHeaderRow="1" firstDataRow="2" firstDataCol="1"/>
  <pivotFields count="3">
    <pivotField axis="axisCol" allDrilled="1" showAll="0" dataSourceSort="1" defaultAttributeDrillState="1">
      <items count="5">
        <item x="0"/>
        <item x="1"/>
        <item x="2"/>
        <item x="3"/>
        <item t="default"/>
      </items>
    </pivotField>
    <pivotField axis="axisRow" allDrilled="1" showAll="0" dataSourceSort="1" defaultAttributeDrillState="1">
      <items count="4">
        <item x="0"/>
        <item x="1"/>
        <item x="2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Count of 3. What is your gender?" fld="2" subtotal="count" baseField="0" baseItem="0"/>
  </dataFields>
  <formats count="9">
    <format dxfId="8">
      <pivotArea type="origin" dataOnly="0" labelOnly="1" outline="0" fieldPosition="0"/>
    </format>
    <format dxfId="7">
      <pivotArea field="0" type="button" dataOnly="0" labelOnly="1" outline="0" axis="axisCol" fieldPosition="0"/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0" count="1">
            <x v="0"/>
          </reference>
        </references>
      </pivotArea>
    </format>
    <format dxfId="4">
      <pivotArea dataOnly="0" labelOnly="1" fieldPosition="0">
        <references count="1">
          <reference field="0" count="1">
            <x v="1"/>
          </reference>
        </references>
      </pivotArea>
    </format>
    <format dxfId="3">
      <pivotArea dataOnly="0" labelOnly="1" fieldPosition="0">
        <references count="1">
          <reference field="0" count="1">
            <x v="2"/>
          </reference>
        </references>
      </pivotArea>
    </format>
    <format dxfId="2">
      <pivotArea dataOnly="0" labelOnly="1" fieldPosition="0">
        <references count="1">
          <reference field="0" count="1">
            <x v="3"/>
          </reference>
        </references>
      </pivotArea>
    </format>
    <format dxfId="1">
      <pivotArea dataOnly="0" labelOnly="1" grandCol="1" outline="0" fieldPosition="0"/>
    </format>
    <format dxfId="0">
      <pivotArea dataOnly="0" labelOnly="1" grandRow="1" outline="0" fieldPosition="0"/>
    </format>
  </formats>
  <pivotHierarchies count="5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showRowHeaders="1" showColHeaders="1" showRowStripes="0" showColStripes="0" showLastColumn="1"/>
  <rowHierarchiesUsage count="1">
    <rowHierarchyUsage hierarchyUsage="22"/>
  </rowHierarchiesUsage>
  <colHierarchiesUsage count="1">
    <colHierarchyUsage hierarchyUsage="2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 2]"/>
        <x15:activeTabTopLevelEntity name="[Form_Responses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AO51">
  <tableColumns count="41">
    <tableColumn id="1" xr3:uid="{00000000-0010-0000-0000-000001000000}" name="Timestamp"/>
    <tableColumn id="2" xr3:uid="{00000000-0010-0000-0000-000002000000}" name="1. How old are you (in years)?"/>
    <tableColumn id="3" xr3:uid="{00000000-0010-0000-0000-000003000000}" name="2. On average, how many hours do you sleep at night?"/>
    <tableColumn id="4" xr3:uid="{00000000-0010-0000-0000-000004000000}" name="3.  How many hours do you spend studying per week?"/>
    <tableColumn id="5" xr3:uid="{00000000-0010-0000-0000-000005000000}" name="4. How many breaks do you take during a study session?"/>
    <tableColumn id="6" xr3:uid="{00000000-0010-0000-0000-000006000000}" name="5. On average, how many classes you attend per day (Monday - Friday)?"/>
    <tableColumn id="7" xr3:uid="{00000000-0010-0000-0000-000007000000}" name="6. On average, how many hours per day do you use digital screens (e.g., laptop etc.) for academic purpose?"/>
    <tableColumn id="8" xr3:uid="{00000000-0010-0000-0000-000008000000}" name="7. How many assignments did you submit late this semester due to stress?"/>
    <tableColumn id="9" xr3:uid="{00000000-0010-0000-0000-000009000000}" name="8. How many days per week do you feel overwhelmed due to your academic workload?"/>
    <tableColumn id="10" xr3:uid="{00000000-0010-0000-0000-00000A000000}" name="9. How many mental health counselling sessions have you attended this semester?"/>
    <tableColumn id="11" xr3:uid="{00000000-0010-0000-0000-00000B000000}" name="10. How many rest days do you give yourself per month?"/>
    <tableColumn id="12" xr3:uid="{00000000-0010-0000-0000-00000C000000}" name="1. How would you rate your academic stress level? "/>
    <tableColumn id="13" xr3:uid="{00000000-0010-0000-0000-00000D000000}" name="2. How often do you feel emotionally drained by academic work? "/>
    <tableColumn id="14" xr3:uid="{00000000-0010-0000-0000-00000E000000}" name="3. How severe are your physical stress symptoms (e.g., headaches)?"/>
    <tableColumn id="15" xr3:uid="{00000000-0010-0000-0000-00000F000000}" name="4. How often do you procrastinate because of anxiety?"/>
    <tableColumn id="16" xr3:uid="{00000000-0010-0000-0000-000010000000}" name="5. How do you feel after submitting major assignments?"/>
    <tableColumn id="17" xr3:uid="{00000000-0010-0000-0000-000011000000}" name="6. How well do you manage academic pressure?"/>
    <tableColumn id="18" xr3:uid="{00000000-0010-0000-0000-000012000000}" name="7. How would you rate your time management skills?"/>
    <tableColumn id="19" xr3:uid="{00000000-0010-0000-0000-000013000000}" name="8. How often do you practice self-care during semesters?"/>
    <tableColumn id="20" xr3:uid="{00000000-0010-0000-0000-000014000000}" name="9. How often do you feel supported by peers during stress?"/>
    <tableColumn id="21" xr3:uid="{00000000-0010-0000-0000-000015000000}" name="10. How important is mental health at your university?"/>
    <tableColumn id="22" xr3:uid="{00000000-0010-0000-0000-000016000000}" name="1. What is your year of study? "/>
    <tableColumn id="23" xr3:uid="{00000000-0010-0000-0000-000017000000}" name="2. What is your major?"/>
    <tableColumn id="24" xr3:uid="{00000000-0010-0000-0000-000018000000}" name="3. What is your gender?"/>
    <tableColumn id="25" xr3:uid="{00000000-0010-0000-0000-000019000000}" name="4. What type of institution are you at?"/>
    <tableColumn id="26" xr3:uid="{00000000-0010-0000-0000-00001A000000}" name="5. What is your preferred stressed coping mechanism?"/>
    <tableColumn id="27" xr3:uid="{00000000-0010-0000-0000-00001B000000}" name="6. What stress relief activity do you prefer?"/>
    <tableColumn id="28" xr3:uid="{00000000-0010-0000-0000-00001C000000}" name="7. What is your preferred study method?"/>
    <tableColumn id="29" xr3:uid="{00000000-0010-0000-0000-00001D000000}" name="8. Which mental health resources do you use?"/>
    <tableColumn id="30" xr3:uid="{00000000-0010-0000-0000-00001E000000}" name="9. What contributes most to your academic stress?"/>
    <tableColumn id="31" xr3:uid="{00000000-0010-0000-0000-00001F000000}" name="10. Which social media do you use most (affecting stress)?"/>
    <tableColumn id="32" xr3:uid="{00000000-0010-0000-0000-000020000000}" name="Rate each statement based on your own experiences. [I feel stress during finals week.]"/>
    <tableColumn id="33" xr3:uid="{00000000-0010-0000-0000-000021000000}" name="Rate each statement based on your own experiences. [I often feel anxious.]"/>
    <tableColumn id="34" xr3:uid="{00000000-0010-0000-0000-000022000000}" name="Rate each statement based on your own experiences. [I frequently experience burnout.]"/>
    <tableColumn id="35" xr3:uid="{00000000-0010-0000-0000-000023000000}" name="Rate each statement based on your own experiences. [I feel pressured to maintain academic performance.]"/>
    <tableColumn id="36" xr3:uid="{00000000-0010-0000-0000-000024000000}" name="Rate each statement based on your own experiences. [I am confident in managing my stress.]"/>
    <tableColumn id="37" xr3:uid="{00000000-0010-0000-0000-000025000000}" name="Rate each statement based on your own experiences. [I feel good about my emotional well-being.]"/>
    <tableColumn id="38" xr3:uid="{00000000-0010-0000-0000-000026000000}" name="Rate each statement based on your own experiences. [I have high energy levels during the semester.]"/>
    <tableColumn id="39" xr3:uid="{00000000-0010-0000-0000-000027000000}" name="Rate each statement based on your own experiences. [I can concentrate well on my tasks.]"/>
    <tableColumn id="40" xr3:uid="{00000000-0010-0000-0000-000028000000}" name="Rate each statement based on your own experiences. [I sleep well during exam periods.]"/>
    <tableColumn id="41" xr3:uid="{00000000-0010-0000-0000-000029000000}" name="Rate each statement based on your own experiences. [I am satisfied with the mental health support available.]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O51"/>
  <sheetViews>
    <sheetView topLeftCell="H1" zoomScale="85" zoomScaleNormal="85" workbookViewId="0">
      <pane ySplit="1" topLeftCell="A2" activePane="bottomLeft" state="frozen"/>
      <selection pane="bottomLeft" activeCell="H44" sqref="H44"/>
    </sheetView>
  </sheetViews>
  <sheetFormatPr defaultColWidth="12.5546875" defaultRowHeight="15.75" customHeight="1" x14ac:dyDescent="0.25"/>
  <cols>
    <col min="1" max="1" width="18.88671875" customWidth="1"/>
    <col min="2" max="2" width="45.6640625" customWidth="1"/>
    <col min="3" max="3" width="57.5546875" customWidth="1"/>
    <col min="4" max="4" width="52" customWidth="1"/>
    <col min="5" max="5" width="54.6640625" customWidth="1"/>
    <col min="6" max="6" width="61.109375" customWidth="1"/>
    <col min="7" max="7" width="90.6640625" customWidth="1"/>
    <col min="8" max="8" width="72.109375" customWidth="1"/>
    <col min="9" max="9" width="82.44140625" customWidth="1"/>
    <col min="10" max="10" width="73.109375" customWidth="1"/>
    <col min="11" max="11" width="59.6640625" customWidth="1"/>
    <col min="12" max="12" width="45.109375" customWidth="1"/>
    <col min="13" max="13" width="60.109375" customWidth="1"/>
    <col min="14" max="14" width="63.88671875" customWidth="1"/>
    <col min="15" max="15" width="48.5546875" customWidth="1"/>
    <col min="16" max="16" width="49.77734375" customWidth="1"/>
    <col min="17" max="17" width="42.21875" customWidth="1"/>
    <col min="18" max="18" width="47.21875" customWidth="1"/>
    <col min="19" max="19" width="50.109375" customWidth="1"/>
    <col min="20" max="20" width="57.6640625" customWidth="1"/>
    <col min="21" max="21" width="48.44140625" customWidth="1"/>
    <col min="22" max="22" width="30" customWidth="1"/>
    <col min="23" max="23" width="28.77734375" customWidth="1"/>
    <col min="24" max="24" width="31" customWidth="1"/>
    <col min="25" max="25" width="34.33203125" customWidth="1"/>
    <col min="26" max="26" width="47.109375" customWidth="1"/>
    <col min="27" max="27" width="39" customWidth="1"/>
    <col min="28" max="28" width="37.88671875" customWidth="1"/>
    <col min="29" max="29" width="48.109375" customWidth="1"/>
    <col min="30" max="30" width="52.5546875" customWidth="1"/>
    <col min="31" max="31" width="51.77734375" customWidth="1"/>
    <col min="32" max="32" width="80.88671875" customWidth="1"/>
    <col min="33" max="33" width="70" customWidth="1"/>
    <col min="34" max="34" width="83.21875" customWidth="1"/>
    <col min="35" max="35" width="91.44140625" customWidth="1"/>
    <col min="36" max="36" width="79.88671875" bestFit="1" customWidth="1"/>
    <col min="37" max="37" width="86.5546875" customWidth="1"/>
    <col min="38" max="38" width="87.21875" bestFit="1" customWidth="1"/>
    <col min="39" max="39" width="86.77734375" customWidth="1"/>
    <col min="40" max="40" width="74.5546875" customWidth="1"/>
    <col min="41" max="41" width="93.109375" customWidth="1"/>
    <col min="42" max="47" width="18.88671875" customWidth="1"/>
  </cols>
  <sheetData>
    <row r="1" spans="1:41" ht="15.75" customHeight="1" x14ac:dyDescent="0.25">
      <c r="A1" s="21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31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20" t="s">
        <v>40</v>
      </c>
    </row>
    <row r="2" spans="1:41" ht="15.75" customHeight="1" x14ac:dyDescent="0.25">
      <c r="A2" s="1">
        <v>45769.060037268515</v>
      </c>
      <c r="B2" s="2">
        <v>22</v>
      </c>
      <c r="C2" s="2">
        <v>8</v>
      </c>
      <c r="D2" s="2">
        <v>5</v>
      </c>
      <c r="E2" s="2">
        <v>3</v>
      </c>
      <c r="F2" s="2">
        <v>3</v>
      </c>
      <c r="G2" s="2">
        <v>2</v>
      </c>
      <c r="H2" s="2">
        <v>2</v>
      </c>
      <c r="I2" s="2">
        <v>2</v>
      </c>
      <c r="J2" s="2">
        <v>0</v>
      </c>
      <c r="K2" s="2">
        <v>6</v>
      </c>
      <c r="L2" s="2" t="s">
        <v>41</v>
      </c>
      <c r="M2" s="2" t="s">
        <v>42</v>
      </c>
      <c r="N2" s="2" t="s">
        <v>43</v>
      </c>
      <c r="O2" s="2" t="s">
        <v>42</v>
      </c>
      <c r="P2" s="2" t="s">
        <v>44</v>
      </c>
      <c r="Q2" s="2" t="s">
        <v>45</v>
      </c>
      <c r="R2" s="2" t="s">
        <v>46</v>
      </c>
      <c r="S2" s="2" t="s">
        <v>47</v>
      </c>
      <c r="T2" s="2" t="s">
        <v>48</v>
      </c>
      <c r="U2" s="2" t="s">
        <v>49</v>
      </c>
      <c r="V2" s="2" t="s">
        <v>50</v>
      </c>
      <c r="W2" s="2" t="s">
        <v>51</v>
      </c>
      <c r="X2" s="2" t="s">
        <v>52</v>
      </c>
      <c r="Y2" s="2" t="s">
        <v>53</v>
      </c>
      <c r="Z2" s="2" t="s">
        <v>54</v>
      </c>
      <c r="AA2" s="2" t="s">
        <v>55</v>
      </c>
      <c r="AB2" s="2" t="s">
        <v>56</v>
      </c>
      <c r="AC2" s="2" t="s">
        <v>57</v>
      </c>
      <c r="AD2" s="2" t="s">
        <v>58</v>
      </c>
      <c r="AE2" s="2" t="s">
        <v>59</v>
      </c>
      <c r="AF2" s="2">
        <v>5</v>
      </c>
      <c r="AG2" s="2">
        <v>4</v>
      </c>
      <c r="AH2" s="2">
        <v>4</v>
      </c>
      <c r="AI2" s="2">
        <v>4</v>
      </c>
      <c r="AJ2" s="2">
        <v>3</v>
      </c>
      <c r="AK2" s="2">
        <v>3</v>
      </c>
      <c r="AL2" s="2">
        <v>3</v>
      </c>
      <c r="AM2" s="2">
        <v>3</v>
      </c>
      <c r="AN2" s="2">
        <v>5</v>
      </c>
      <c r="AO2" s="3">
        <v>2</v>
      </c>
    </row>
    <row r="3" spans="1:41" ht="15.75" customHeight="1" x14ac:dyDescent="0.25">
      <c r="A3" s="4">
        <v>45769.075530439819</v>
      </c>
      <c r="B3" s="5">
        <v>21</v>
      </c>
      <c r="C3" s="5">
        <v>8</v>
      </c>
      <c r="D3" s="5">
        <v>5</v>
      </c>
      <c r="E3" s="5">
        <v>3</v>
      </c>
      <c r="F3" s="5">
        <v>3</v>
      </c>
      <c r="G3" s="5">
        <v>6</v>
      </c>
      <c r="H3" s="5">
        <v>0</v>
      </c>
      <c r="I3" s="5">
        <v>3</v>
      </c>
      <c r="J3" s="5">
        <v>0</v>
      </c>
      <c r="K3" s="5">
        <v>0</v>
      </c>
      <c r="L3" s="5" t="s">
        <v>60</v>
      </c>
      <c r="M3" s="5" t="s">
        <v>61</v>
      </c>
      <c r="N3" s="5" t="s">
        <v>41</v>
      </c>
      <c r="O3" s="5" t="s">
        <v>42</v>
      </c>
      <c r="P3" s="5" t="s">
        <v>62</v>
      </c>
      <c r="Q3" s="5" t="s">
        <v>45</v>
      </c>
      <c r="R3" s="5" t="s">
        <v>46</v>
      </c>
      <c r="S3" s="5" t="s">
        <v>47</v>
      </c>
      <c r="T3" s="5" t="s">
        <v>42</v>
      </c>
      <c r="U3" s="5" t="s">
        <v>63</v>
      </c>
      <c r="V3" s="5" t="s">
        <v>64</v>
      </c>
      <c r="W3" s="5" t="s">
        <v>51</v>
      </c>
      <c r="X3" s="5" t="s">
        <v>52</v>
      </c>
      <c r="Y3" s="5" t="s">
        <v>53</v>
      </c>
      <c r="Z3" s="5" t="s">
        <v>65</v>
      </c>
      <c r="AA3" s="5" t="s">
        <v>66</v>
      </c>
      <c r="AB3" s="5" t="s">
        <v>67</v>
      </c>
      <c r="AC3" s="5" t="s">
        <v>68</v>
      </c>
      <c r="AD3" s="5" t="s">
        <v>69</v>
      </c>
      <c r="AE3" s="5" t="s">
        <v>59</v>
      </c>
      <c r="AF3" s="5">
        <v>5</v>
      </c>
      <c r="AG3" s="5">
        <v>4</v>
      </c>
      <c r="AH3" s="5">
        <v>5</v>
      </c>
      <c r="AI3" s="5">
        <v>5</v>
      </c>
      <c r="AJ3" s="5">
        <v>2</v>
      </c>
      <c r="AK3" s="5">
        <v>4</v>
      </c>
      <c r="AL3" s="5">
        <v>1</v>
      </c>
      <c r="AM3" s="5">
        <v>1</v>
      </c>
      <c r="AN3" s="5">
        <v>1</v>
      </c>
      <c r="AO3" s="6">
        <v>1</v>
      </c>
    </row>
    <row r="4" spans="1:41" ht="15.75" customHeight="1" x14ac:dyDescent="0.25">
      <c r="A4" s="1">
        <v>45769.278290613423</v>
      </c>
      <c r="B4" s="2">
        <v>19</v>
      </c>
      <c r="C4" s="2">
        <v>4</v>
      </c>
      <c r="D4" s="2">
        <v>5</v>
      </c>
      <c r="E4" s="2">
        <v>0</v>
      </c>
      <c r="F4" s="2">
        <v>3</v>
      </c>
      <c r="G4" s="2">
        <v>4</v>
      </c>
      <c r="H4" s="2">
        <v>0</v>
      </c>
      <c r="I4" s="2">
        <v>3</v>
      </c>
      <c r="J4" s="2">
        <v>0</v>
      </c>
      <c r="K4" s="2">
        <v>0</v>
      </c>
      <c r="L4" s="2" t="s">
        <v>60</v>
      </c>
      <c r="M4" s="2" t="s">
        <v>61</v>
      </c>
      <c r="N4" s="2" t="s">
        <v>70</v>
      </c>
      <c r="O4" s="2" t="s">
        <v>42</v>
      </c>
      <c r="P4" s="2" t="s">
        <v>71</v>
      </c>
      <c r="Q4" s="2" t="s">
        <v>72</v>
      </c>
      <c r="R4" s="2" t="s">
        <v>73</v>
      </c>
      <c r="S4" s="2" t="s">
        <v>47</v>
      </c>
      <c r="T4" s="2" t="s">
        <v>42</v>
      </c>
      <c r="U4" s="2" t="s">
        <v>63</v>
      </c>
      <c r="V4" s="2" t="s">
        <v>74</v>
      </c>
      <c r="W4" s="2" t="s">
        <v>51</v>
      </c>
      <c r="X4" s="2" t="s">
        <v>75</v>
      </c>
      <c r="Y4" s="2" t="s">
        <v>53</v>
      </c>
      <c r="Z4" s="2" t="s">
        <v>68</v>
      </c>
      <c r="AA4" s="2" t="s">
        <v>66</v>
      </c>
      <c r="AB4" s="2" t="s">
        <v>56</v>
      </c>
      <c r="AC4" s="2" t="s">
        <v>68</v>
      </c>
      <c r="AD4" s="2" t="s">
        <v>69</v>
      </c>
      <c r="AE4" s="2" t="s">
        <v>68</v>
      </c>
      <c r="AF4" s="2">
        <v>4</v>
      </c>
      <c r="AG4" s="2">
        <v>2</v>
      </c>
      <c r="AH4" s="2">
        <v>5</v>
      </c>
      <c r="AI4" s="2">
        <v>5</v>
      </c>
      <c r="AJ4" s="2">
        <v>3</v>
      </c>
      <c r="AK4" s="2">
        <v>5</v>
      </c>
      <c r="AL4" s="2">
        <v>3</v>
      </c>
      <c r="AM4" s="2">
        <v>5</v>
      </c>
      <c r="AN4" s="2">
        <v>1</v>
      </c>
      <c r="AO4" s="3">
        <v>1</v>
      </c>
    </row>
    <row r="5" spans="1:41" ht="15.75" customHeight="1" x14ac:dyDescent="0.25">
      <c r="A5" s="4">
        <v>45769.43543459491</v>
      </c>
      <c r="B5" s="5">
        <v>20</v>
      </c>
      <c r="C5" s="5">
        <v>6</v>
      </c>
      <c r="D5" s="5">
        <v>5</v>
      </c>
      <c r="E5" s="5">
        <v>3</v>
      </c>
      <c r="F5" s="5">
        <v>3</v>
      </c>
      <c r="G5" s="5">
        <v>2</v>
      </c>
      <c r="H5" s="5">
        <v>0</v>
      </c>
      <c r="I5" s="5">
        <v>3</v>
      </c>
      <c r="J5" s="5">
        <v>0</v>
      </c>
      <c r="K5" s="5">
        <v>6</v>
      </c>
      <c r="L5" s="5" t="s">
        <v>76</v>
      </c>
      <c r="M5" s="5" t="s">
        <v>42</v>
      </c>
      <c r="N5" s="5" t="s">
        <v>43</v>
      </c>
      <c r="O5" s="5" t="s">
        <v>42</v>
      </c>
      <c r="P5" s="5" t="s">
        <v>71</v>
      </c>
      <c r="Q5" s="5" t="s">
        <v>72</v>
      </c>
      <c r="R5" s="5" t="s">
        <v>73</v>
      </c>
      <c r="S5" s="5" t="s">
        <v>47</v>
      </c>
      <c r="T5" s="5" t="s">
        <v>77</v>
      </c>
      <c r="U5" s="5" t="s">
        <v>49</v>
      </c>
      <c r="V5" s="5" t="s">
        <v>74</v>
      </c>
      <c r="W5" s="5" t="s">
        <v>51</v>
      </c>
      <c r="X5" s="5" t="s">
        <v>52</v>
      </c>
      <c r="Y5" s="5" t="s">
        <v>53</v>
      </c>
      <c r="Z5" s="5" t="s">
        <v>65</v>
      </c>
      <c r="AA5" s="5" t="s">
        <v>55</v>
      </c>
      <c r="AB5" s="5" t="s">
        <v>67</v>
      </c>
      <c r="AC5" s="5" t="s">
        <v>68</v>
      </c>
      <c r="AD5" s="5" t="s">
        <v>58</v>
      </c>
      <c r="AE5" s="5" t="s">
        <v>59</v>
      </c>
      <c r="AF5" s="5">
        <v>2</v>
      </c>
      <c r="AG5" s="5">
        <v>3</v>
      </c>
      <c r="AH5" s="5">
        <v>4</v>
      </c>
      <c r="AI5" s="5">
        <v>5</v>
      </c>
      <c r="AJ5" s="5">
        <v>3</v>
      </c>
      <c r="AK5" s="5">
        <v>1</v>
      </c>
      <c r="AL5" s="5">
        <v>2</v>
      </c>
      <c r="AM5" s="5">
        <v>3</v>
      </c>
      <c r="AN5" s="5">
        <v>2</v>
      </c>
      <c r="AO5" s="6">
        <v>2</v>
      </c>
    </row>
    <row r="6" spans="1:41" ht="15.75" customHeight="1" x14ac:dyDescent="0.25">
      <c r="A6" s="1">
        <v>45769.652500995369</v>
      </c>
      <c r="B6" s="2">
        <v>22</v>
      </c>
      <c r="C6" s="2">
        <v>6</v>
      </c>
      <c r="D6" s="2">
        <v>10</v>
      </c>
      <c r="E6" s="2">
        <v>2</v>
      </c>
      <c r="F6" s="2">
        <v>2</v>
      </c>
      <c r="G6" s="2">
        <v>6</v>
      </c>
      <c r="H6" s="2">
        <v>1</v>
      </c>
      <c r="I6" s="2">
        <v>3</v>
      </c>
      <c r="J6" s="2">
        <v>0</v>
      </c>
      <c r="K6" s="2">
        <v>2</v>
      </c>
      <c r="L6" s="2" t="s">
        <v>60</v>
      </c>
      <c r="M6" s="2" t="s">
        <v>61</v>
      </c>
      <c r="N6" s="2" t="s">
        <v>41</v>
      </c>
      <c r="O6" s="2" t="s">
        <v>42</v>
      </c>
      <c r="P6" s="2" t="s">
        <v>71</v>
      </c>
      <c r="Q6" s="2" t="s">
        <v>72</v>
      </c>
      <c r="R6" s="2" t="s">
        <v>73</v>
      </c>
      <c r="S6" s="2" t="s">
        <v>47</v>
      </c>
      <c r="T6" s="2" t="s">
        <v>42</v>
      </c>
      <c r="U6" s="2" t="s">
        <v>63</v>
      </c>
      <c r="V6" s="2" t="s">
        <v>78</v>
      </c>
      <c r="W6" s="2" t="s">
        <v>79</v>
      </c>
      <c r="X6" s="2" t="s">
        <v>52</v>
      </c>
      <c r="Y6" s="2" t="s">
        <v>53</v>
      </c>
      <c r="Z6" s="2" t="s">
        <v>65</v>
      </c>
      <c r="AA6" s="2" t="s">
        <v>80</v>
      </c>
      <c r="AB6" s="2" t="s">
        <v>56</v>
      </c>
      <c r="AC6" s="2" t="s">
        <v>68</v>
      </c>
      <c r="AD6" s="2" t="s">
        <v>81</v>
      </c>
      <c r="AE6" s="2" t="s">
        <v>59</v>
      </c>
      <c r="AF6" s="2">
        <v>4</v>
      </c>
      <c r="AG6" s="2">
        <v>5</v>
      </c>
      <c r="AH6" s="2">
        <v>4</v>
      </c>
      <c r="AI6" s="2">
        <v>4</v>
      </c>
      <c r="AJ6" s="2">
        <v>3</v>
      </c>
      <c r="AK6" s="2">
        <v>3</v>
      </c>
      <c r="AL6" s="2">
        <v>3</v>
      </c>
      <c r="AM6" s="2">
        <v>4</v>
      </c>
      <c r="AN6" s="2">
        <v>4</v>
      </c>
      <c r="AO6" s="3">
        <v>4</v>
      </c>
    </row>
    <row r="7" spans="1:41" ht="15.75" customHeight="1" x14ac:dyDescent="0.25">
      <c r="A7" s="4">
        <v>45769.973887326385</v>
      </c>
      <c r="B7" s="5">
        <v>21</v>
      </c>
      <c r="C7" s="5">
        <v>6</v>
      </c>
      <c r="D7" s="5">
        <v>10</v>
      </c>
      <c r="E7" s="5">
        <v>3</v>
      </c>
      <c r="F7" s="5">
        <v>2</v>
      </c>
      <c r="G7" s="5">
        <v>4</v>
      </c>
      <c r="H7" s="5">
        <v>0</v>
      </c>
      <c r="I7" s="5">
        <v>0</v>
      </c>
      <c r="J7" s="5">
        <v>0</v>
      </c>
      <c r="K7" s="5">
        <v>2</v>
      </c>
      <c r="L7" s="5" t="s">
        <v>82</v>
      </c>
      <c r="M7" s="5" t="s">
        <v>47</v>
      </c>
      <c r="N7" s="5" t="s">
        <v>68</v>
      </c>
      <c r="O7" s="5" t="s">
        <v>83</v>
      </c>
      <c r="P7" s="5" t="s">
        <v>44</v>
      </c>
      <c r="Q7" s="5" t="s">
        <v>84</v>
      </c>
      <c r="R7" s="5" t="s">
        <v>85</v>
      </c>
      <c r="S7" s="5" t="s">
        <v>77</v>
      </c>
      <c r="T7" s="5" t="s">
        <v>48</v>
      </c>
      <c r="U7" s="5" t="s">
        <v>63</v>
      </c>
      <c r="V7" s="5" t="s">
        <v>74</v>
      </c>
      <c r="W7" s="5" t="s">
        <v>51</v>
      </c>
      <c r="X7" s="5" t="s">
        <v>75</v>
      </c>
      <c r="Y7" s="5" t="s">
        <v>53</v>
      </c>
      <c r="Z7" s="5" t="s">
        <v>86</v>
      </c>
      <c r="AA7" s="5" t="s">
        <v>80</v>
      </c>
      <c r="AB7" s="5" t="s">
        <v>87</v>
      </c>
      <c r="AC7" s="5" t="s">
        <v>68</v>
      </c>
      <c r="AD7" s="5" t="s">
        <v>69</v>
      </c>
      <c r="AE7" s="5" t="s">
        <v>68</v>
      </c>
      <c r="AF7" s="5">
        <v>1</v>
      </c>
      <c r="AG7" s="5">
        <v>1</v>
      </c>
      <c r="AH7" s="5">
        <v>1</v>
      </c>
      <c r="AI7" s="5">
        <v>1</v>
      </c>
      <c r="AJ7" s="5">
        <v>4</v>
      </c>
      <c r="AK7" s="5">
        <v>4</v>
      </c>
      <c r="AL7" s="5">
        <v>2</v>
      </c>
      <c r="AM7" s="5">
        <v>4</v>
      </c>
      <c r="AN7" s="5">
        <v>4</v>
      </c>
      <c r="AO7" s="6">
        <v>4</v>
      </c>
    </row>
    <row r="8" spans="1:41" ht="15.75" customHeight="1" x14ac:dyDescent="0.25">
      <c r="A8" s="1">
        <v>45770.792234606481</v>
      </c>
      <c r="B8" s="2">
        <v>21</v>
      </c>
      <c r="C8" s="2">
        <v>6</v>
      </c>
      <c r="D8" s="2">
        <v>15</v>
      </c>
      <c r="E8" s="2">
        <v>2</v>
      </c>
      <c r="F8" s="2">
        <v>3</v>
      </c>
      <c r="G8" s="2">
        <v>6</v>
      </c>
      <c r="H8" s="2">
        <v>0</v>
      </c>
      <c r="I8" s="2">
        <v>3</v>
      </c>
      <c r="J8" s="2">
        <v>3</v>
      </c>
      <c r="K8" s="2">
        <v>4</v>
      </c>
      <c r="L8" s="2" t="s">
        <v>41</v>
      </c>
      <c r="M8" s="2" t="s">
        <v>83</v>
      </c>
      <c r="N8" s="2" t="s">
        <v>70</v>
      </c>
      <c r="O8" s="2" t="s">
        <v>83</v>
      </c>
      <c r="P8" s="2" t="s">
        <v>44</v>
      </c>
      <c r="Q8" s="2" t="s">
        <v>72</v>
      </c>
      <c r="R8" s="2" t="s">
        <v>73</v>
      </c>
      <c r="S8" s="2" t="s">
        <v>88</v>
      </c>
      <c r="T8" s="2" t="s">
        <v>42</v>
      </c>
      <c r="U8" s="2" t="s">
        <v>89</v>
      </c>
      <c r="V8" s="2" t="s">
        <v>74</v>
      </c>
      <c r="W8" s="2" t="s">
        <v>90</v>
      </c>
      <c r="X8" s="2" t="s">
        <v>52</v>
      </c>
      <c r="Y8" s="2" t="s">
        <v>91</v>
      </c>
      <c r="Z8" s="2" t="s">
        <v>65</v>
      </c>
      <c r="AA8" s="2" t="s">
        <v>66</v>
      </c>
      <c r="AB8" s="2" t="s">
        <v>87</v>
      </c>
      <c r="AC8" s="2" t="s">
        <v>57</v>
      </c>
      <c r="AD8" s="2" t="s">
        <v>58</v>
      </c>
      <c r="AE8" s="2" t="s">
        <v>59</v>
      </c>
      <c r="AF8" s="2">
        <v>5</v>
      </c>
      <c r="AG8" s="2">
        <v>2</v>
      </c>
      <c r="AH8" s="2">
        <v>3</v>
      </c>
      <c r="AI8" s="2">
        <v>5</v>
      </c>
      <c r="AJ8" s="2">
        <v>5</v>
      </c>
      <c r="AK8" s="2">
        <v>2</v>
      </c>
      <c r="AL8" s="2">
        <v>3</v>
      </c>
      <c r="AM8" s="2">
        <v>3</v>
      </c>
      <c r="AN8" s="2">
        <v>1</v>
      </c>
      <c r="AO8" s="3">
        <v>4</v>
      </c>
    </row>
    <row r="9" spans="1:41" ht="15.75" customHeight="1" x14ac:dyDescent="0.25">
      <c r="A9" s="4">
        <v>45770.814303877312</v>
      </c>
      <c r="B9" s="5">
        <v>19</v>
      </c>
      <c r="C9" s="5">
        <v>4</v>
      </c>
      <c r="D9" s="5">
        <v>15</v>
      </c>
      <c r="E9" s="5">
        <v>2</v>
      </c>
      <c r="F9" s="5">
        <v>3</v>
      </c>
      <c r="G9" s="5">
        <v>6</v>
      </c>
      <c r="H9" s="5">
        <v>2</v>
      </c>
      <c r="I9" s="5">
        <v>2</v>
      </c>
      <c r="J9" s="5">
        <v>0</v>
      </c>
      <c r="K9" s="5">
        <v>4</v>
      </c>
      <c r="L9" s="5" t="s">
        <v>41</v>
      </c>
      <c r="M9" s="5" t="s">
        <v>83</v>
      </c>
      <c r="N9" s="5" t="s">
        <v>43</v>
      </c>
      <c r="O9" s="5" t="s">
        <v>83</v>
      </c>
      <c r="P9" s="5" t="s">
        <v>44</v>
      </c>
      <c r="Q9" s="5" t="s">
        <v>72</v>
      </c>
      <c r="R9" s="5" t="s">
        <v>73</v>
      </c>
      <c r="S9" s="5" t="s">
        <v>83</v>
      </c>
      <c r="T9" s="5" t="s">
        <v>48</v>
      </c>
      <c r="U9" s="5" t="s">
        <v>92</v>
      </c>
      <c r="V9" s="5" t="s">
        <v>74</v>
      </c>
      <c r="W9" s="5" t="s">
        <v>51</v>
      </c>
      <c r="X9" s="5" t="s">
        <v>52</v>
      </c>
      <c r="Y9" s="5" t="s">
        <v>53</v>
      </c>
      <c r="Z9" s="5" t="s">
        <v>65</v>
      </c>
      <c r="AA9" s="5" t="s">
        <v>55</v>
      </c>
      <c r="AB9" s="5" t="s">
        <v>56</v>
      </c>
      <c r="AC9" s="5" t="s">
        <v>68</v>
      </c>
      <c r="AD9" s="5" t="s">
        <v>58</v>
      </c>
      <c r="AE9" s="5" t="s">
        <v>93</v>
      </c>
      <c r="AF9" s="5">
        <v>2</v>
      </c>
      <c r="AG9" s="5">
        <v>2</v>
      </c>
      <c r="AH9" s="5">
        <v>1</v>
      </c>
      <c r="AI9" s="5">
        <v>2</v>
      </c>
      <c r="AJ9" s="5">
        <v>2</v>
      </c>
      <c r="AK9" s="5">
        <v>3</v>
      </c>
      <c r="AL9" s="5">
        <v>3</v>
      </c>
      <c r="AM9" s="5">
        <v>3</v>
      </c>
      <c r="AN9" s="5">
        <v>1</v>
      </c>
      <c r="AO9" s="6">
        <v>3</v>
      </c>
    </row>
    <row r="10" spans="1:41" ht="15.75" customHeight="1" x14ac:dyDescent="0.25">
      <c r="A10" s="1">
        <v>45770.904404710644</v>
      </c>
      <c r="B10" s="2">
        <v>19</v>
      </c>
      <c r="C10" s="2">
        <v>8</v>
      </c>
      <c r="D10" s="2">
        <v>20</v>
      </c>
      <c r="E10" s="2">
        <v>3</v>
      </c>
      <c r="F10" s="2">
        <v>3</v>
      </c>
      <c r="G10" s="2">
        <v>6</v>
      </c>
      <c r="H10" s="2">
        <v>3</v>
      </c>
      <c r="I10" s="2">
        <v>3</v>
      </c>
      <c r="J10" s="2">
        <v>2</v>
      </c>
      <c r="K10" s="2">
        <v>6</v>
      </c>
      <c r="L10" s="2" t="s">
        <v>60</v>
      </c>
      <c r="M10" s="2" t="s">
        <v>61</v>
      </c>
      <c r="N10" s="2" t="s">
        <v>70</v>
      </c>
      <c r="O10" s="2" t="s">
        <v>61</v>
      </c>
      <c r="P10" s="2" t="s">
        <v>94</v>
      </c>
      <c r="Q10" s="2" t="s">
        <v>84</v>
      </c>
      <c r="R10" s="2" t="s">
        <v>73</v>
      </c>
      <c r="S10" s="2" t="s">
        <v>88</v>
      </c>
      <c r="T10" s="2" t="s">
        <v>61</v>
      </c>
      <c r="U10" s="2" t="s">
        <v>92</v>
      </c>
      <c r="V10" s="2" t="s">
        <v>78</v>
      </c>
      <c r="W10" s="2" t="s">
        <v>90</v>
      </c>
      <c r="X10" s="2" t="s">
        <v>75</v>
      </c>
      <c r="Y10" s="2" t="s">
        <v>53</v>
      </c>
      <c r="Z10" s="2" t="s">
        <v>65</v>
      </c>
      <c r="AA10" s="2" t="s">
        <v>55</v>
      </c>
      <c r="AB10" s="2" t="s">
        <v>56</v>
      </c>
      <c r="AC10" s="2" t="s">
        <v>95</v>
      </c>
      <c r="AD10" s="2" t="s">
        <v>96</v>
      </c>
      <c r="AE10" s="2" t="s">
        <v>97</v>
      </c>
      <c r="AF10" s="2">
        <v>2</v>
      </c>
      <c r="AG10" s="2">
        <v>2</v>
      </c>
      <c r="AH10" s="2">
        <v>2</v>
      </c>
      <c r="AI10" s="2">
        <v>2</v>
      </c>
      <c r="AJ10" s="2">
        <v>2</v>
      </c>
      <c r="AK10" s="2">
        <v>2</v>
      </c>
      <c r="AL10" s="2">
        <v>2</v>
      </c>
      <c r="AM10" s="2">
        <v>2</v>
      </c>
      <c r="AN10" s="2">
        <v>2</v>
      </c>
      <c r="AO10" s="3">
        <v>2</v>
      </c>
    </row>
    <row r="11" spans="1:41" ht="15.75" customHeight="1" x14ac:dyDescent="0.25">
      <c r="A11" s="4">
        <v>45770.906594641201</v>
      </c>
      <c r="B11" s="5">
        <v>19</v>
      </c>
      <c r="C11" s="5">
        <v>6</v>
      </c>
      <c r="D11" s="5">
        <v>20</v>
      </c>
      <c r="E11" s="5">
        <v>1</v>
      </c>
      <c r="F11" s="5">
        <v>3</v>
      </c>
      <c r="G11" s="5">
        <v>4</v>
      </c>
      <c r="H11" s="5">
        <v>2</v>
      </c>
      <c r="I11" s="5">
        <v>1</v>
      </c>
      <c r="J11" s="5">
        <v>0</v>
      </c>
      <c r="K11" s="5">
        <v>4</v>
      </c>
      <c r="L11" s="5" t="s">
        <v>41</v>
      </c>
      <c r="M11" s="5" t="s">
        <v>83</v>
      </c>
      <c r="N11" s="5" t="s">
        <v>43</v>
      </c>
      <c r="O11" s="5" t="s">
        <v>83</v>
      </c>
      <c r="P11" s="5" t="s">
        <v>44</v>
      </c>
      <c r="Q11" s="5" t="s">
        <v>98</v>
      </c>
      <c r="R11" s="5" t="s">
        <v>46</v>
      </c>
      <c r="S11" s="5" t="s">
        <v>47</v>
      </c>
      <c r="T11" s="5" t="s">
        <v>77</v>
      </c>
      <c r="U11" s="5" t="s">
        <v>89</v>
      </c>
      <c r="V11" s="5" t="s">
        <v>50</v>
      </c>
      <c r="W11" s="5" t="s">
        <v>79</v>
      </c>
      <c r="X11" s="5" t="s">
        <v>75</v>
      </c>
      <c r="Y11" s="5" t="s">
        <v>91</v>
      </c>
      <c r="Z11" s="5" t="s">
        <v>86</v>
      </c>
      <c r="AA11" s="5" t="s">
        <v>99</v>
      </c>
      <c r="AB11" s="5" t="s">
        <v>56</v>
      </c>
      <c r="AC11" s="5" t="s">
        <v>68</v>
      </c>
      <c r="AD11" s="5" t="s">
        <v>58</v>
      </c>
      <c r="AE11" s="5" t="s">
        <v>59</v>
      </c>
      <c r="AF11" s="5">
        <v>4</v>
      </c>
      <c r="AG11" s="5">
        <v>4</v>
      </c>
      <c r="AH11" s="5">
        <v>4</v>
      </c>
      <c r="AI11" s="5">
        <v>4</v>
      </c>
      <c r="AJ11" s="5">
        <v>4</v>
      </c>
      <c r="AK11" s="5">
        <v>1</v>
      </c>
      <c r="AL11" s="5">
        <v>4</v>
      </c>
      <c r="AM11" s="5">
        <v>4</v>
      </c>
      <c r="AN11" s="5">
        <v>1</v>
      </c>
      <c r="AO11" s="6">
        <v>1</v>
      </c>
    </row>
    <row r="12" spans="1:41" ht="15.75" customHeight="1" x14ac:dyDescent="0.25">
      <c r="A12" s="1">
        <v>45770.909346817134</v>
      </c>
      <c r="B12" s="2">
        <v>19</v>
      </c>
      <c r="C12" s="2">
        <v>6</v>
      </c>
      <c r="D12" s="2">
        <v>10</v>
      </c>
      <c r="E12" s="2">
        <v>2</v>
      </c>
      <c r="F12" s="2">
        <v>3</v>
      </c>
      <c r="G12" s="2">
        <v>2</v>
      </c>
      <c r="H12" s="2">
        <v>0</v>
      </c>
      <c r="I12" s="2">
        <v>2</v>
      </c>
      <c r="J12" s="2">
        <v>0</v>
      </c>
      <c r="K12" s="2">
        <v>4</v>
      </c>
      <c r="L12" s="2" t="s">
        <v>76</v>
      </c>
      <c r="M12" s="2" t="s">
        <v>83</v>
      </c>
      <c r="N12" s="2" t="s">
        <v>43</v>
      </c>
      <c r="O12" s="2" t="s">
        <v>83</v>
      </c>
      <c r="P12" s="2" t="s">
        <v>44</v>
      </c>
      <c r="Q12" s="2" t="s">
        <v>72</v>
      </c>
      <c r="R12" s="2" t="s">
        <v>73</v>
      </c>
      <c r="S12" s="2" t="s">
        <v>47</v>
      </c>
      <c r="T12" s="2" t="s">
        <v>42</v>
      </c>
      <c r="U12" s="2" t="s">
        <v>89</v>
      </c>
      <c r="V12" s="2" t="s">
        <v>74</v>
      </c>
      <c r="W12" s="2" t="s">
        <v>90</v>
      </c>
      <c r="X12" s="2" t="s">
        <v>75</v>
      </c>
      <c r="Y12" s="2" t="s">
        <v>53</v>
      </c>
      <c r="Z12" s="2" t="s">
        <v>86</v>
      </c>
      <c r="AA12" s="2" t="s">
        <v>80</v>
      </c>
      <c r="AB12" s="2" t="s">
        <v>67</v>
      </c>
      <c r="AC12" s="2" t="s">
        <v>95</v>
      </c>
      <c r="AD12" s="2" t="s">
        <v>69</v>
      </c>
      <c r="AE12" s="2" t="s">
        <v>59</v>
      </c>
      <c r="AF12" s="2">
        <v>4</v>
      </c>
      <c r="AG12" s="2">
        <v>3</v>
      </c>
      <c r="AH12" s="2">
        <v>4</v>
      </c>
      <c r="AI12" s="2">
        <v>3</v>
      </c>
      <c r="AJ12" s="2">
        <v>2</v>
      </c>
      <c r="AK12" s="2">
        <v>3</v>
      </c>
      <c r="AL12" s="2">
        <v>5</v>
      </c>
      <c r="AM12" s="2">
        <v>4</v>
      </c>
      <c r="AN12" s="2">
        <v>2</v>
      </c>
      <c r="AO12" s="3">
        <v>3</v>
      </c>
    </row>
    <row r="13" spans="1:41" ht="15.75" customHeight="1" x14ac:dyDescent="0.25">
      <c r="A13" s="4">
        <v>45770.91365696759</v>
      </c>
      <c r="B13" s="5">
        <v>19</v>
      </c>
      <c r="C13" s="5">
        <v>6</v>
      </c>
      <c r="D13" s="5">
        <v>20</v>
      </c>
      <c r="E13" s="5">
        <v>2</v>
      </c>
      <c r="F13" s="5">
        <v>3</v>
      </c>
      <c r="G13" s="5">
        <v>2</v>
      </c>
      <c r="H13" s="5">
        <v>1</v>
      </c>
      <c r="I13" s="5">
        <v>2</v>
      </c>
      <c r="J13" s="5">
        <v>2</v>
      </c>
      <c r="K13" s="5">
        <v>2</v>
      </c>
      <c r="L13" s="5" t="s">
        <v>82</v>
      </c>
      <c r="M13" s="5" t="s">
        <v>47</v>
      </c>
      <c r="N13" s="5" t="s">
        <v>43</v>
      </c>
      <c r="O13" s="5" t="s">
        <v>83</v>
      </c>
      <c r="P13" s="5" t="s">
        <v>62</v>
      </c>
      <c r="Q13" s="5" t="s">
        <v>45</v>
      </c>
      <c r="R13" s="5" t="s">
        <v>73</v>
      </c>
      <c r="S13" s="5" t="s">
        <v>47</v>
      </c>
      <c r="T13" s="5" t="s">
        <v>48</v>
      </c>
      <c r="U13" s="5" t="s">
        <v>89</v>
      </c>
      <c r="V13" s="5" t="s">
        <v>50</v>
      </c>
      <c r="W13" s="5" t="s">
        <v>90</v>
      </c>
      <c r="X13" s="5" t="s">
        <v>75</v>
      </c>
      <c r="Y13" s="5" t="s">
        <v>53</v>
      </c>
      <c r="Z13" s="5" t="s">
        <v>54</v>
      </c>
      <c r="AA13" s="5" t="s">
        <v>55</v>
      </c>
      <c r="AB13" s="5" t="s">
        <v>56</v>
      </c>
      <c r="AC13" s="5" t="s">
        <v>100</v>
      </c>
      <c r="AD13" s="5" t="s">
        <v>58</v>
      </c>
      <c r="AE13" s="5" t="s">
        <v>59</v>
      </c>
      <c r="AF13" s="5">
        <v>2</v>
      </c>
      <c r="AG13" s="5">
        <v>2</v>
      </c>
      <c r="AH13" s="5">
        <v>2</v>
      </c>
      <c r="AI13" s="5">
        <v>2</v>
      </c>
      <c r="AJ13" s="5">
        <v>2</v>
      </c>
      <c r="AK13" s="5">
        <v>2</v>
      </c>
      <c r="AL13" s="5">
        <v>2</v>
      </c>
      <c r="AM13" s="5">
        <v>2</v>
      </c>
      <c r="AN13" s="5">
        <v>2</v>
      </c>
      <c r="AO13" s="6">
        <v>2</v>
      </c>
    </row>
    <row r="14" spans="1:41" ht="15.75" customHeight="1" x14ac:dyDescent="0.25">
      <c r="A14" s="1">
        <v>45770.914371678242</v>
      </c>
      <c r="B14" s="2">
        <v>22</v>
      </c>
      <c r="C14" s="2">
        <v>8</v>
      </c>
      <c r="D14" s="2">
        <v>5</v>
      </c>
      <c r="E14" s="2">
        <v>3</v>
      </c>
      <c r="F14" s="2">
        <v>3</v>
      </c>
      <c r="G14" s="2">
        <v>6</v>
      </c>
      <c r="H14" s="2">
        <v>3</v>
      </c>
      <c r="I14" s="2">
        <v>2</v>
      </c>
      <c r="J14" s="2">
        <v>0</v>
      </c>
      <c r="K14" s="2">
        <v>6</v>
      </c>
      <c r="L14" s="2" t="s">
        <v>82</v>
      </c>
      <c r="M14" s="2" t="s">
        <v>83</v>
      </c>
      <c r="N14" s="2" t="s">
        <v>68</v>
      </c>
      <c r="O14" s="2" t="s">
        <v>77</v>
      </c>
      <c r="P14" s="2" t="s">
        <v>44</v>
      </c>
      <c r="Q14" s="2" t="s">
        <v>98</v>
      </c>
      <c r="R14" s="2" t="s">
        <v>101</v>
      </c>
      <c r="S14" s="2" t="s">
        <v>77</v>
      </c>
      <c r="T14" s="2" t="s">
        <v>42</v>
      </c>
      <c r="U14" s="2" t="s">
        <v>49</v>
      </c>
      <c r="V14" s="2" t="s">
        <v>78</v>
      </c>
      <c r="W14" s="2" t="s">
        <v>51</v>
      </c>
      <c r="X14" s="2" t="s">
        <v>52</v>
      </c>
      <c r="Y14" s="2" t="s">
        <v>91</v>
      </c>
      <c r="Z14" s="2" t="s">
        <v>86</v>
      </c>
      <c r="AA14" s="2" t="s">
        <v>55</v>
      </c>
      <c r="AB14" s="2" t="s">
        <v>87</v>
      </c>
      <c r="AC14" s="2" t="s">
        <v>95</v>
      </c>
      <c r="AD14" s="2" t="s">
        <v>96</v>
      </c>
      <c r="AE14" s="2" t="s">
        <v>97</v>
      </c>
      <c r="AF14" s="2">
        <v>5</v>
      </c>
      <c r="AG14" s="2">
        <v>4</v>
      </c>
      <c r="AH14" s="2">
        <v>2</v>
      </c>
      <c r="AI14" s="2">
        <v>4</v>
      </c>
      <c r="AJ14" s="2">
        <v>4</v>
      </c>
      <c r="AK14" s="2">
        <v>4</v>
      </c>
      <c r="AL14" s="2">
        <v>3</v>
      </c>
      <c r="AM14" s="2">
        <v>4</v>
      </c>
      <c r="AN14" s="2">
        <v>2</v>
      </c>
      <c r="AO14" s="3">
        <v>3</v>
      </c>
    </row>
    <row r="15" spans="1:41" ht="15.75" customHeight="1" x14ac:dyDescent="0.25">
      <c r="A15" s="4">
        <v>45770.915739733799</v>
      </c>
      <c r="B15" s="5">
        <v>22</v>
      </c>
      <c r="C15" s="5">
        <v>8</v>
      </c>
      <c r="D15" s="5">
        <v>20</v>
      </c>
      <c r="E15" s="5">
        <v>2</v>
      </c>
      <c r="F15" s="5">
        <v>2</v>
      </c>
      <c r="G15" s="5">
        <v>4</v>
      </c>
      <c r="H15" s="5">
        <v>0</v>
      </c>
      <c r="I15" s="5">
        <v>2</v>
      </c>
      <c r="J15" s="5">
        <v>0</v>
      </c>
      <c r="K15" s="5">
        <v>0</v>
      </c>
      <c r="L15" s="5" t="s">
        <v>60</v>
      </c>
      <c r="M15" s="5" t="s">
        <v>42</v>
      </c>
      <c r="N15" s="5" t="s">
        <v>41</v>
      </c>
      <c r="O15" s="5" t="s">
        <v>42</v>
      </c>
      <c r="P15" s="5" t="s">
        <v>44</v>
      </c>
      <c r="Q15" s="5" t="s">
        <v>72</v>
      </c>
      <c r="R15" s="5" t="s">
        <v>73</v>
      </c>
      <c r="S15" s="5" t="s">
        <v>83</v>
      </c>
      <c r="T15" s="5" t="s">
        <v>42</v>
      </c>
      <c r="U15" s="5" t="s">
        <v>49</v>
      </c>
      <c r="V15" s="5" t="s">
        <v>78</v>
      </c>
      <c r="W15" s="5" t="s">
        <v>51</v>
      </c>
      <c r="X15" s="5" t="s">
        <v>75</v>
      </c>
      <c r="Y15" s="5" t="s">
        <v>53</v>
      </c>
      <c r="Z15" s="5" t="s">
        <v>86</v>
      </c>
      <c r="AA15" s="5" t="s">
        <v>66</v>
      </c>
      <c r="AB15" s="5" t="s">
        <v>56</v>
      </c>
      <c r="AC15" s="5" t="s">
        <v>68</v>
      </c>
      <c r="AD15" s="5" t="s">
        <v>96</v>
      </c>
      <c r="AE15" s="5" t="s">
        <v>59</v>
      </c>
      <c r="AF15" s="5">
        <v>5</v>
      </c>
      <c r="AG15" s="5">
        <v>3</v>
      </c>
      <c r="AH15" s="5">
        <v>3</v>
      </c>
      <c r="AI15" s="5">
        <v>5</v>
      </c>
      <c r="AJ15" s="5">
        <v>4</v>
      </c>
      <c r="AK15" s="5">
        <v>3</v>
      </c>
      <c r="AL15" s="5">
        <v>3</v>
      </c>
      <c r="AM15" s="5">
        <v>3</v>
      </c>
      <c r="AN15" s="5">
        <v>3</v>
      </c>
      <c r="AO15" s="6">
        <v>1</v>
      </c>
    </row>
    <row r="16" spans="1:41" ht="15.75" customHeight="1" x14ac:dyDescent="0.25">
      <c r="A16" s="1">
        <v>45770.915781365737</v>
      </c>
      <c r="B16" s="2">
        <v>19</v>
      </c>
      <c r="C16" s="2">
        <v>10</v>
      </c>
      <c r="D16" s="2">
        <v>10</v>
      </c>
      <c r="E16" s="2">
        <v>3</v>
      </c>
      <c r="F16" s="2">
        <v>1</v>
      </c>
      <c r="G16" s="2">
        <v>2</v>
      </c>
      <c r="H16" s="2">
        <v>2</v>
      </c>
      <c r="I16" s="2">
        <v>0</v>
      </c>
      <c r="J16" s="2">
        <v>2</v>
      </c>
      <c r="K16" s="2">
        <v>4</v>
      </c>
      <c r="L16" s="2" t="s">
        <v>76</v>
      </c>
      <c r="M16" s="2" t="s">
        <v>83</v>
      </c>
      <c r="N16" s="2" t="s">
        <v>43</v>
      </c>
      <c r="O16" s="2" t="s">
        <v>83</v>
      </c>
      <c r="P16" s="2" t="s">
        <v>94</v>
      </c>
      <c r="Q16" s="2" t="s">
        <v>98</v>
      </c>
      <c r="R16" s="2" t="s">
        <v>85</v>
      </c>
      <c r="S16" s="2" t="s">
        <v>83</v>
      </c>
      <c r="T16" s="2" t="s">
        <v>61</v>
      </c>
      <c r="U16" s="2" t="s">
        <v>49</v>
      </c>
      <c r="V16" s="2" t="s">
        <v>50</v>
      </c>
      <c r="W16" s="2" t="s">
        <v>79</v>
      </c>
      <c r="X16" s="2" t="s">
        <v>75</v>
      </c>
      <c r="Y16" s="2" t="s">
        <v>91</v>
      </c>
      <c r="Z16" s="2" t="s">
        <v>65</v>
      </c>
      <c r="AA16" s="2" t="s">
        <v>80</v>
      </c>
      <c r="AB16" s="2" t="s">
        <v>87</v>
      </c>
      <c r="AC16" s="2" t="s">
        <v>57</v>
      </c>
      <c r="AD16" s="2" t="s">
        <v>69</v>
      </c>
      <c r="AE16" s="2" t="s">
        <v>59</v>
      </c>
      <c r="AF16" s="2">
        <v>3</v>
      </c>
      <c r="AG16" s="2">
        <v>3</v>
      </c>
      <c r="AH16" s="2">
        <v>4</v>
      </c>
      <c r="AI16" s="2">
        <v>2</v>
      </c>
      <c r="AJ16" s="2">
        <v>2</v>
      </c>
      <c r="AK16" s="2">
        <v>4</v>
      </c>
      <c r="AL16" s="2">
        <v>2</v>
      </c>
      <c r="AM16" s="2">
        <v>2</v>
      </c>
      <c r="AN16" s="2">
        <v>2</v>
      </c>
      <c r="AO16" s="3">
        <v>2</v>
      </c>
    </row>
    <row r="17" spans="1:41" ht="15.75" customHeight="1" x14ac:dyDescent="0.25">
      <c r="A17" s="4">
        <v>45770.917704178239</v>
      </c>
      <c r="B17" s="5">
        <v>19</v>
      </c>
      <c r="C17" s="5">
        <v>4</v>
      </c>
      <c r="D17" s="5">
        <v>20</v>
      </c>
      <c r="E17" s="5">
        <v>3</v>
      </c>
      <c r="F17" s="5">
        <v>3</v>
      </c>
      <c r="G17" s="5">
        <v>6</v>
      </c>
      <c r="H17" s="5">
        <v>0</v>
      </c>
      <c r="I17" s="5">
        <v>3</v>
      </c>
      <c r="J17" s="5">
        <v>0</v>
      </c>
      <c r="K17" s="5">
        <v>2</v>
      </c>
      <c r="L17" s="5" t="s">
        <v>76</v>
      </c>
      <c r="M17" s="5" t="s">
        <v>42</v>
      </c>
      <c r="N17" s="5" t="s">
        <v>41</v>
      </c>
      <c r="O17" s="5" t="s">
        <v>42</v>
      </c>
      <c r="P17" s="5" t="s">
        <v>44</v>
      </c>
      <c r="Q17" s="5" t="s">
        <v>45</v>
      </c>
      <c r="R17" s="5" t="s">
        <v>46</v>
      </c>
      <c r="S17" s="5" t="s">
        <v>77</v>
      </c>
      <c r="T17" s="5" t="s">
        <v>48</v>
      </c>
      <c r="U17" s="5" t="s">
        <v>63</v>
      </c>
      <c r="V17" s="5" t="s">
        <v>50</v>
      </c>
      <c r="W17" s="5" t="s">
        <v>90</v>
      </c>
      <c r="X17" s="5" t="s">
        <v>75</v>
      </c>
      <c r="Y17" s="5" t="s">
        <v>91</v>
      </c>
      <c r="Z17" s="5" t="s">
        <v>86</v>
      </c>
      <c r="AA17" s="5" t="s">
        <v>55</v>
      </c>
      <c r="AB17" s="5" t="s">
        <v>67</v>
      </c>
      <c r="AC17" s="5" t="s">
        <v>68</v>
      </c>
      <c r="AD17" s="5" t="s">
        <v>81</v>
      </c>
      <c r="AE17" s="5" t="s">
        <v>59</v>
      </c>
      <c r="AF17" s="5">
        <v>5</v>
      </c>
      <c r="AG17" s="5">
        <v>4</v>
      </c>
      <c r="AH17" s="5">
        <v>4</v>
      </c>
      <c r="AI17" s="5">
        <v>5</v>
      </c>
      <c r="AJ17" s="5">
        <v>2</v>
      </c>
      <c r="AK17" s="5">
        <v>1</v>
      </c>
      <c r="AL17" s="5">
        <v>1</v>
      </c>
      <c r="AM17" s="5">
        <v>1</v>
      </c>
      <c r="AN17" s="5">
        <v>1</v>
      </c>
      <c r="AO17" s="6">
        <v>1</v>
      </c>
    </row>
    <row r="18" spans="1:41" ht="15.75" customHeight="1" x14ac:dyDescent="0.25">
      <c r="A18" s="1">
        <v>45770.917800949072</v>
      </c>
      <c r="B18" s="2">
        <v>19</v>
      </c>
      <c r="C18" s="2">
        <v>8</v>
      </c>
      <c r="D18" s="2">
        <v>20</v>
      </c>
      <c r="E18" s="2">
        <v>0</v>
      </c>
      <c r="F18" s="2">
        <v>3</v>
      </c>
      <c r="G18" s="2">
        <v>2</v>
      </c>
      <c r="H18" s="2">
        <v>3</v>
      </c>
      <c r="I18" s="2">
        <v>3</v>
      </c>
      <c r="J18" s="2">
        <v>2</v>
      </c>
      <c r="K18" s="2">
        <v>4</v>
      </c>
      <c r="L18" s="2" t="s">
        <v>76</v>
      </c>
      <c r="M18" s="2" t="s">
        <v>83</v>
      </c>
      <c r="N18" s="2" t="s">
        <v>43</v>
      </c>
      <c r="O18" s="2" t="s">
        <v>83</v>
      </c>
      <c r="P18" s="2" t="s">
        <v>44</v>
      </c>
      <c r="Q18" s="2" t="s">
        <v>84</v>
      </c>
      <c r="R18" s="2" t="s">
        <v>101</v>
      </c>
      <c r="S18" s="2" t="s">
        <v>83</v>
      </c>
      <c r="T18" s="2" t="s">
        <v>42</v>
      </c>
      <c r="U18" s="2" t="s">
        <v>63</v>
      </c>
      <c r="V18" s="2" t="s">
        <v>64</v>
      </c>
      <c r="W18" s="2" t="s">
        <v>51</v>
      </c>
      <c r="X18" s="2" t="s">
        <v>75</v>
      </c>
      <c r="Y18" s="2" t="s">
        <v>91</v>
      </c>
      <c r="Z18" s="2" t="s">
        <v>54</v>
      </c>
      <c r="AA18" s="2" t="s">
        <v>80</v>
      </c>
      <c r="AB18" s="2" t="s">
        <v>67</v>
      </c>
      <c r="AC18" s="2" t="s">
        <v>95</v>
      </c>
      <c r="AD18" s="2" t="s">
        <v>81</v>
      </c>
      <c r="AE18" s="2" t="s">
        <v>97</v>
      </c>
      <c r="AF18" s="2">
        <v>3</v>
      </c>
      <c r="AG18" s="2">
        <v>3</v>
      </c>
      <c r="AH18" s="2">
        <v>3</v>
      </c>
      <c r="AI18" s="2">
        <v>3</v>
      </c>
      <c r="AJ18" s="2">
        <v>3</v>
      </c>
      <c r="AK18" s="2">
        <v>3</v>
      </c>
      <c r="AL18" s="2">
        <v>3</v>
      </c>
      <c r="AM18" s="2">
        <v>3</v>
      </c>
      <c r="AN18" s="2">
        <v>3</v>
      </c>
      <c r="AO18" s="3">
        <v>3</v>
      </c>
    </row>
    <row r="19" spans="1:41" ht="15.75" customHeight="1" x14ac:dyDescent="0.25">
      <c r="A19" s="4">
        <v>45770.923114594909</v>
      </c>
      <c r="B19" s="5">
        <v>21</v>
      </c>
      <c r="C19" s="5">
        <v>4</v>
      </c>
      <c r="D19" s="5">
        <v>20</v>
      </c>
      <c r="E19" s="5">
        <v>0</v>
      </c>
      <c r="F19" s="5">
        <v>3</v>
      </c>
      <c r="G19" s="5">
        <v>2</v>
      </c>
      <c r="H19" s="5">
        <v>1</v>
      </c>
      <c r="I19" s="5">
        <v>2</v>
      </c>
      <c r="J19" s="5">
        <v>2</v>
      </c>
      <c r="K19" s="5">
        <v>4</v>
      </c>
      <c r="L19" s="5" t="s">
        <v>60</v>
      </c>
      <c r="M19" s="5" t="s">
        <v>61</v>
      </c>
      <c r="N19" s="5" t="s">
        <v>70</v>
      </c>
      <c r="O19" s="5" t="s">
        <v>61</v>
      </c>
      <c r="P19" s="5" t="s">
        <v>94</v>
      </c>
      <c r="Q19" s="5" t="s">
        <v>84</v>
      </c>
      <c r="R19" s="5" t="s">
        <v>85</v>
      </c>
      <c r="S19" s="5" t="s">
        <v>88</v>
      </c>
      <c r="T19" s="5" t="s">
        <v>61</v>
      </c>
      <c r="U19" s="5" t="s">
        <v>92</v>
      </c>
      <c r="V19" s="5" t="s">
        <v>50</v>
      </c>
      <c r="W19" s="5" t="s">
        <v>79</v>
      </c>
      <c r="X19" s="5" t="s">
        <v>52</v>
      </c>
      <c r="Y19" s="5" t="s">
        <v>53</v>
      </c>
      <c r="Z19" s="5" t="s">
        <v>86</v>
      </c>
      <c r="AA19" s="5" t="s">
        <v>55</v>
      </c>
      <c r="AB19" s="5" t="s">
        <v>67</v>
      </c>
      <c r="AC19" s="5" t="s">
        <v>57</v>
      </c>
      <c r="AD19" s="5" t="s">
        <v>58</v>
      </c>
      <c r="AE19" s="5" t="s">
        <v>93</v>
      </c>
      <c r="AF19" s="5">
        <v>3</v>
      </c>
      <c r="AG19" s="5">
        <v>3</v>
      </c>
      <c r="AH19" s="5">
        <v>2</v>
      </c>
      <c r="AI19" s="5">
        <v>2</v>
      </c>
      <c r="AJ19" s="5">
        <v>3</v>
      </c>
      <c r="AK19" s="5">
        <v>3</v>
      </c>
      <c r="AL19" s="5">
        <v>1</v>
      </c>
      <c r="AM19" s="5">
        <v>3</v>
      </c>
      <c r="AN19" s="5">
        <v>2</v>
      </c>
      <c r="AO19" s="6">
        <v>2</v>
      </c>
    </row>
    <row r="20" spans="1:41" ht="15.75" customHeight="1" x14ac:dyDescent="0.25">
      <c r="A20" s="1">
        <v>45770.926446307873</v>
      </c>
      <c r="B20" s="2">
        <v>22</v>
      </c>
      <c r="C20" s="2">
        <v>8</v>
      </c>
      <c r="D20" s="2">
        <v>10</v>
      </c>
      <c r="E20" s="2">
        <v>3</v>
      </c>
      <c r="F20" s="2">
        <v>1</v>
      </c>
      <c r="G20" s="2">
        <v>2</v>
      </c>
      <c r="H20" s="2">
        <v>1</v>
      </c>
      <c r="I20" s="2">
        <v>3</v>
      </c>
      <c r="J20" s="2">
        <v>1</v>
      </c>
      <c r="K20" s="2">
        <v>6</v>
      </c>
      <c r="L20" s="2" t="s">
        <v>41</v>
      </c>
      <c r="M20" s="2" t="s">
        <v>83</v>
      </c>
      <c r="N20" s="2" t="s">
        <v>43</v>
      </c>
      <c r="O20" s="2" t="s">
        <v>42</v>
      </c>
      <c r="P20" s="2" t="s">
        <v>44</v>
      </c>
      <c r="Q20" s="2" t="s">
        <v>72</v>
      </c>
      <c r="R20" s="2" t="s">
        <v>73</v>
      </c>
      <c r="S20" s="2" t="s">
        <v>83</v>
      </c>
      <c r="T20" s="2" t="s">
        <v>42</v>
      </c>
      <c r="U20" s="2" t="s">
        <v>49</v>
      </c>
      <c r="V20" s="2" t="s">
        <v>50</v>
      </c>
      <c r="W20" s="2" t="s">
        <v>79</v>
      </c>
      <c r="X20" s="2" t="s">
        <v>75</v>
      </c>
      <c r="Y20" s="2" t="s">
        <v>91</v>
      </c>
      <c r="Z20" s="2" t="s">
        <v>86</v>
      </c>
      <c r="AA20" s="2" t="s">
        <v>99</v>
      </c>
      <c r="AB20" s="2" t="s">
        <v>56</v>
      </c>
      <c r="AC20" s="2" t="s">
        <v>68</v>
      </c>
      <c r="AD20" s="2" t="s">
        <v>81</v>
      </c>
      <c r="AE20" s="2" t="s">
        <v>97</v>
      </c>
      <c r="AF20" s="2">
        <v>1</v>
      </c>
      <c r="AG20" s="2">
        <v>2</v>
      </c>
      <c r="AH20" s="2">
        <v>1</v>
      </c>
      <c r="AI20" s="2">
        <v>2</v>
      </c>
      <c r="AJ20" s="2">
        <v>3</v>
      </c>
      <c r="AK20" s="2">
        <v>2</v>
      </c>
      <c r="AL20" s="2">
        <v>1</v>
      </c>
      <c r="AM20" s="2">
        <v>2</v>
      </c>
      <c r="AN20" s="2">
        <v>1</v>
      </c>
      <c r="AO20" s="3">
        <v>2</v>
      </c>
    </row>
    <row r="21" spans="1:41" ht="15.75" customHeight="1" x14ac:dyDescent="0.25">
      <c r="A21" s="4">
        <v>45770.927589722225</v>
      </c>
      <c r="B21" s="5">
        <v>19</v>
      </c>
      <c r="C21" s="5">
        <v>8</v>
      </c>
      <c r="D21" s="5">
        <v>5</v>
      </c>
      <c r="E21" s="5">
        <v>3</v>
      </c>
      <c r="F21" s="5">
        <v>0</v>
      </c>
      <c r="G21" s="5">
        <v>6</v>
      </c>
      <c r="H21" s="5">
        <v>0</v>
      </c>
      <c r="I21" s="5">
        <v>0</v>
      </c>
      <c r="J21" s="5">
        <v>1</v>
      </c>
      <c r="K21" s="5">
        <v>2</v>
      </c>
      <c r="L21" s="5" t="s">
        <v>41</v>
      </c>
      <c r="M21" s="5" t="s">
        <v>42</v>
      </c>
      <c r="N21" s="5" t="s">
        <v>43</v>
      </c>
      <c r="O21" s="5" t="s">
        <v>83</v>
      </c>
      <c r="P21" s="5" t="s">
        <v>44</v>
      </c>
      <c r="Q21" s="5" t="s">
        <v>98</v>
      </c>
      <c r="R21" s="5" t="s">
        <v>73</v>
      </c>
      <c r="S21" s="5" t="s">
        <v>88</v>
      </c>
      <c r="T21" s="5" t="s">
        <v>42</v>
      </c>
      <c r="U21" s="5" t="s">
        <v>92</v>
      </c>
      <c r="V21" s="5" t="s">
        <v>50</v>
      </c>
      <c r="W21" s="5" t="s">
        <v>90</v>
      </c>
      <c r="X21" s="5" t="s">
        <v>75</v>
      </c>
      <c r="Y21" s="5" t="s">
        <v>91</v>
      </c>
      <c r="Z21" s="5" t="s">
        <v>65</v>
      </c>
      <c r="AA21" s="5" t="s">
        <v>80</v>
      </c>
      <c r="AB21" s="5" t="s">
        <v>102</v>
      </c>
      <c r="AC21" s="5" t="s">
        <v>57</v>
      </c>
      <c r="AD21" s="5" t="s">
        <v>81</v>
      </c>
      <c r="AE21" s="5" t="s">
        <v>59</v>
      </c>
      <c r="AF21" s="5">
        <v>2</v>
      </c>
      <c r="AG21" s="5">
        <v>2</v>
      </c>
      <c r="AH21" s="5">
        <v>2</v>
      </c>
      <c r="AI21" s="5">
        <v>2</v>
      </c>
      <c r="AJ21" s="5">
        <v>2</v>
      </c>
      <c r="AK21" s="5">
        <v>2</v>
      </c>
      <c r="AL21" s="5">
        <v>2</v>
      </c>
      <c r="AM21" s="5">
        <v>2</v>
      </c>
      <c r="AN21" s="5">
        <v>2</v>
      </c>
      <c r="AO21" s="6">
        <v>2</v>
      </c>
    </row>
    <row r="22" spans="1:41" ht="15.75" customHeight="1" x14ac:dyDescent="0.25">
      <c r="A22" s="1">
        <v>45770.929068796293</v>
      </c>
      <c r="B22" s="2">
        <v>19</v>
      </c>
      <c r="C22" s="2">
        <v>8</v>
      </c>
      <c r="D22" s="2">
        <v>15</v>
      </c>
      <c r="E22" s="2">
        <v>1</v>
      </c>
      <c r="F22" s="2">
        <v>3</v>
      </c>
      <c r="G22" s="2">
        <v>0</v>
      </c>
      <c r="H22" s="2">
        <v>0</v>
      </c>
      <c r="I22" s="2">
        <v>0</v>
      </c>
      <c r="J22" s="2">
        <v>3</v>
      </c>
      <c r="K22" s="2">
        <v>4</v>
      </c>
      <c r="L22" s="2" t="s">
        <v>41</v>
      </c>
      <c r="M22" s="2" t="s">
        <v>83</v>
      </c>
      <c r="N22" s="2" t="s">
        <v>43</v>
      </c>
      <c r="O22" s="2" t="s">
        <v>83</v>
      </c>
      <c r="P22" s="2" t="s">
        <v>62</v>
      </c>
      <c r="Q22" s="2" t="s">
        <v>45</v>
      </c>
      <c r="R22" s="2" t="s">
        <v>101</v>
      </c>
      <c r="S22" s="2" t="s">
        <v>47</v>
      </c>
      <c r="T22" s="2" t="s">
        <v>48</v>
      </c>
      <c r="U22" s="2" t="s">
        <v>49</v>
      </c>
      <c r="V22" s="2" t="s">
        <v>50</v>
      </c>
      <c r="W22" s="2" t="s">
        <v>51</v>
      </c>
      <c r="X22" s="2" t="s">
        <v>75</v>
      </c>
      <c r="Y22" s="2" t="s">
        <v>91</v>
      </c>
      <c r="Z22" s="2" t="s">
        <v>65</v>
      </c>
      <c r="AA22" s="2" t="s">
        <v>55</v>
      </c>
      <c r="AB22" s="2" t="s">
        <v>56</v>
      </c>
      <c r="AC22" s="2" t="s">
        <v>57</v>
      </c>
      <c r="AD22" s="2" t="s">
        <v>58</v>
      </c>
      <c r="AE22" s="2" t="s">
        <v>93</v>
      </c>
      <c r="AF22" s="2">
        <v>3</v>
      </c>
      <c r="AG22" s="2">
        <v>3</v>
      </c>
      <c r="AH22" s="2">
        <v>3</v>
      </c>
      <c r="AI22" s="2">
        <v>2</v>
      </c>
      <c r="AJ22" s="2">
        <v>2</v>
      </c>
      <c r="AK22" s="2">
        <v>1</v>
      </c>
      <c r="AL22" s="2">
        <v>3</v>
      </c>
      <c r="AM22" s="2">
        <v>2</v>
      </c>
      <c r="AN22" s="2">
        <v>2</v>
      </c>
      <c r="AO22" s="3">
        <v>1</v>
      </c>
    </row>
    <row r="23" spans="1:41" ht="15.75" customHeight="1" x14ac:dyDescent="0.25">
      <c r="A23" s="4">
        <v>45770.930721296296</v>
      </c>
      <c r="B23" s="5">
        <v>19</v>
      </c>
      <c r="C23" s="5">
        <v>6</v>
      </c>
      <c r="D23" s="5">
        <v>15</v>
      </c>
      <c r="E23" s="5">
        <v>3</v>
      </c>
      <c r="F23" s="5">
        <v>3</v>
      </c>
      <c r="G23" s="5">
        <v>6</v>
      </c>
      <c r="H23" s="5">
        <v>2</v>
      </c>
      <c r="I23" s="5">
        <v>2</v>
      </c>
      <c r="J23" s="5">
        <v>3</v>
      </c>
      <c r="K23" s="5">
        <v>6</v>
      </c>
      <c r="L23" s="5" t="s">
        <v>60</v>
      </c>
      <c r="M23" s="5" t="s">
        <v>42</v>
      </c>
      <c r="N23" s="5" t="s">
        <v>41</v>
      </c>
      <c r="O23" s="5" t="s">
        <v>61</v>
      </c>
      <c r="P23" s="5" t="s">
        <v>94</v>
      </c>
      <c r="Q23" s="5" t="s">
        <v>72</v>
      </c>
      <c r="R23" s="5" t="s">
        <v>73</v>
      </c>
      <c r="S23" s="5" t="s">
        <v>83</v>
      </c>
      <c r="T23" s="5" t="s">
        <v>42</v>
      </c>
      <c r="U23" s="5" t="s">
        <v>92</v>
      </c>
      <c r="V23" s="5" t="s">
        <v>50</v>
      </c>
      <c r="W23" s="5" t="s">
        <v>90</v>
      </c>
      <c r="X23" s="5" t="s">
        <v>75</v>
      </c>
      <c r="Y23" s="5" t="s">
        <v>53</v>
      </c>
      <c r="Z23" s="5" t="s">
        <v>86</v>
      </c>
      <c r="AA23" s="5" t="s">
        <v>99</v>
      </c>
      <c r="AB23" s="5" t="s">
        <v>56</v>
      </c>
      <c r="AC23" s="5" t="s">
        <v>68</v>
      </c>
      <c r="AD23" s="5" t="s">
        <v>58</v>
      </c>
      <c r="AE23" s="5" t="s">
        <v>68</v>
      </c>
      <c r="AF23" s="5">
        <v>3</v>
      </c>
      <c r="AG23" s="5">
        <v>2</v>
      </c>
      <c r="AH23" s="5">
        <v>2</v>
      </c>
      <c r="AI23" s="5">
        <v>2</v>
      </c>
      <c r="AJ23" s="5">
        <v>3</v>
      </c>
      <c r="AK23" s="5">
        <v>3</v>
      </c>
      <c r="AL23" s="5">
        <v>3</v>
      </c>
      <c r="AM23" s="5">
        <v>2</v>
      </c>
      <c r="AN23" s="5">
        <v>2</v>
      </c>
      <c r="AO23" s="6">
        <v>1</v>
      </c>
    </row>
    <row r="24" spans="1:41" ht="15.75" customHeight="1" x14ac:dyDescent="0.25">
      <c r="A24" s="1">
        <v>45770.930804606483</v>
      </c>
      <c r="B24" s="2">
        <v>19</v>
      </c>
      <c r="C24" s="2">
        <v>4</v>
      </c>
      <c r="D24" s="2">
        <v>15</v>
      </c>
      <c r="E24" s="2">
        <v>1</v>
      </c>
      <c r="F24" s="2">
        <v>3</v>
      </c>
      <c r="G24" s="2">
        <v>2</v>
      </c>
      <c r="H24" s="2">
        <v>1</v>
      </c>
      <c r="I24" s="2">
        <v>3</v>
      </c>
      <c r="J24" s="2">
        <v>3</v>
      </c>
      <c r="K24" s="2">
        <v>4</v>
      </c>
      <c r="L24" s="2" t="s">
        <v>60</v>
      </c>
      <c r="M24" s="2" t="s">
        <v>42</v>
      </c>
      <c r="N24" s="2" t="s">
        <v>70</v>
      </c>
      <c r="O24" s="2" t="s">
        <v>42</v>
      </c>
      <c r="P24" s="2" t="s">
        <v>44</v>
      </c>
      <c r="Q24" s="2" t="s">
        <v>98</v>
      </c>
      <c r="R24" s="2" t="s">
        <v>46</v>
      </c>
      <c r="S24" s="2" t="s">
        <v>47</v>
      </c>
      <c r="T24" s="2" t="s">
        <v>48</v>
      </c>
      <c r="U24" s="2" t="s">
        <v>63</v>
      </c>
      <c r="V24" s="2" t="s">
        <v>50</v>
      </c>
      <c r="W24" s="2" t="s">
        <v>79</v>
      </c>
      <c r="X24" s="2" t="s">
        <v>75</v>
      </c>
      <c r="Y24" s="2" t="s">
        <v>91</v>
      </c>
      <c r="Z24" s="2" t="s">
        <v>65</v>
      </c>
      <c r="AA24" s="2" t="s">
        <v>99</v>
      </c>
      <c r="AB24" s="2" t="s">
        <v>67</v>
      </c>
      <c r="AC24" s="2" t="s">
        <v>68</v>
      </c>
      <c r="AD24" s="2" t="s">
        <v>58</v>
      </c>
      <c r="AE24" s="2" t="s">
        <v>68</v>
      </c>
      <c r="AF24" s="2">
        <v>5</v>
      </c>
      <c r="AG24" s="2">
        <v>4</v>
      </c>
      <c r="AH24" s="2">
        <v>3</v>
      </c>
      <c r="AI24" s="2">
        <v>5</v>
      </c>
      <c r="AJ24" s="2">
        <v>2</v>
      </c>
      <c r="AK24" s="2">
        <v>1</v>
      </c>
      <c r="AL24" s="2">
        <v>1</v>
      </c>
      <c r="AM24" s="2">
        <v>4</v>
      </c>
      <c r="AN24" s="2">
        <v>1</v>
      </c>
      <c r="AO24" s="3">
        <v>1</v>
      </c>
    </row>
    <row r="25" spans="1:41" ht="15.75" customHeight="1" x14ac:dyDescent="0.25">
      <c r="A25" s="4">
        <v>45770.933520833336</v>
      </c>
      <c r="B25" s="5">
        <v>22</v>
      </c>
      <c r="C25" s="5">
        <v>6</v>
      </c>
      <c r="D25" s="5">
        <v>20</v>
      </c>
      <c r="E25" s="5">
        <v>3</v>
      </c>
      <c r="F25" s="5">
        <v>3</v>
      </c>
      <c r="G25" s="5">
        <v>4</v>
      </c>
      <c r="H25" s="5">
        <v>1</v>
      </c>
      <c r="I25" s="5">
        <v>2</v>
      </c>
      <c r="J25" s="5">
        <v>3</v>
      </c>
      <c r="K25" s="5">
        <v>4</v>
      </c>
      <c r="L25" s="5" t="s">
        <v>76</v>
      </c>
      <c r="M25" s="5" t="s">
        <v>47</v>
      </c>
      <c r="N25" s="5" t="s">
        <v>41</v>
      </c>
      <c r="O25" s="5" t="s">
        <v>42</v>
      </c>
      <c r="P25" s="5" t="s">
        <v>62</v>
      </c>
      <c r="Q25" s="5" t="s">
        <v>98</v>
      </c>
      <c r="R25" s="5" t="s">
        <v>73</v>
      </c>
      <c r="S25" s="5" t="s">
        <v>47</v>
      </c>
      <c r="T25" s="5" t="s">
        <v>48</v>
      </c>
      <c r="U25" s="5" t="s">
        <v>49</v>
      </c>
      <c r="V25" s="5" t="s">
        <v>78</v>
      </c>
      <c r="W25" s="5" t="s">
        <v>79</v>
      </c>
      <c r="X25" s="5" t="s">
        <v>52</v>
      </c>
      <c r="Y25" s="5" t="s">
        <v>53</v>
      </c>
      <c r="Z25" s="5" t="s">
        <v>65</v>
      </c>
      <c r="AA25" s="5" t="s">
        <v>55</v>
      </c>
      <c r="AB25" s="5" t="s">
        <v>56</v>
      </c>
      <c r="AC25" s="5" t="s">
        <v>57</v>
      </c>
      <c r="AD25" s="5" t="s">
        <v>58</v>
      </c>
      <c r="AE25" s="5" t="s">
        <v>59</v>
      </c>
      <c r="AF25" s="5">
        <v>1</v>
      </c>
      <c r="AG25" s="5">
        <v>1</v>
      </c>
      <c r="AH25" s="5">
        <v>1</v>
      </c>
      <c r="AI25" s="5">
        <v>1</v>
      </c>
      <c r="AJ25" s="5">
        <v>1</v>
      </c>
      <c r="AK25" s="5">
        <v>1</v>
      </c>
      <c r="AL25" s="5">
        <v>1</v>
      </c>
      <c r="AM25" s="5">
        <v>1</v>
      </c>
      <c r="AN25" s="5">
        <v>1</v>
      </c>
      <c r="AO25" s="6">
        <v>1</v>
      </c>
    </row>
    <row r="26" spans="1:41" ht="15.75" customHeight="1" x14ac:dyDescent="0.25">
      <c r="A26" s="1">
        <v>45770.934980810183</v>
      </c>
      <c r="B26" s="2">
        <v>19</v>
      </c>
      <c r="C26" s="2">
        <v>6</v>
      </c>
      <c r="D26" s="2">
        <v>5</v>
      </c>
      <c r="E26" s="2">
        <v>3</v>
      </c>
      <c r="F26" s="2">
        <v>3</v>
      </c>
      <c r="G26" s="2">
        <v>2</v>
      </c>
      <c r="H26" s="2">
        <v>3</v>
      </c>
      <c r="I26" s="2">
        <v>3</v>
      </c>
      <c r="J26" s="2">
        <v>0</v>
      </c>
      <c r="K26" s="2">
        <v>4</v>
      </c>
      <c r="L26" s="2" t="s">
        <v>76</v>
      </c>
      <c r="M26" s="2" t="s">
        <v>42</v>
      </c>
      <c r="N26" s="2" t="s">
        <v>43</v>
      </c>
      <c r="O26" s="2" t="s">
        <v>83</v>
      </c>
      <c r="P26" s="2" t="s">
        <v>62</v>
      </c>
      <c r="Q26" s="2" t="s">
        <v>98</v>
      </c>
      <c r="R26" s="2" t="s">
        <v>101</v>
      </c>
      <c r="S26" s="2" t="s">
        <v>47</v>
      </c>
      <c r="T26" s="2" t="s">
        <v>42</v>
      </c>
      <c r="U26" s="2" t="s">
        <v>92</v>
      </c>
      <c r="V26" s="2" t="s">
        <v>74</v>
      </c>
      <c r="W26" s="2" t="s">
        <v>51</v>
      </c>
      <c r="X26" s="2" t="s">
        <v>75</v>
      </c>
      <c r="Y26" s="2" t="s">
        <v>53</v>
      </c>
      <c r="Z26" s="2" t="s">
        <v>86</v>
      </c>
      <c r="AA26" s="2" t="s">
        <v>99</v>
      </c>
      <c r="AB26" s="2" t="s">
        <v>56</v>
      </c>
      <c r="AC26" s="2" t="s">
        <v>68</v>
      </c>
      <c r="AD26" s="2" t="s">
        <v>58</v>
      </c>
      <c r="AE26" s="2" t="s">
        <v>59</v>
      </c>
      <c r="AF26" s="2">
        <v>5</v>
      </c>
      <c r="AG26" s="2">
        <v>4</v>
      </c>
      <c r="AH26" s="2">
        <v>3</v>
      </c>
      <c r="AI26" s="2">
        <v>5</v>
      </c>
      <c r="AJ26" s="2">
        <v>4</v>
      </c>
      <c r="AK26" s="2">
        <v>1</v>
      </c>
      <c r="AL26" s="2">
        <v>1</v>
      </c>
      <c r="AM26" s="2">
        <v>3</v>
      </c>
      <c r="AN26" s="2">
        <v>2</v>
      </c>
      <c r="AO26" s="3">
        <v>1</v>
      </c>
    </row>
    <row r="27" spans="1:41" ht="15.75" customHeight="1" x14ac:dyDescent="0.25">
      <c r="A27" s="4">
        <v>45770.935992812505</v>
      </c>
      <c r="B27" s="5">
        <v>20</v>
      </c>
      <c r="C27" s="5">
        <v>8</v>
      </c>
      <c r="D27" s="5">
        <v>5</v>
      </c>
      <c r="E27" s="5">
        <v>1</v>
      </c>
      <c r="F27" s="5">
        <v>3</v>
      </c>
      <c r="G27" s="5">
        <v>2</v>
      </c>
      <c r="H27" s="5">
        <v>2</v>
      </c>
      <c r="I27" s="5">
        <v>3</v>
      </c>
      <c r="J27" s="5">
        <v>0</v>
      </c>
      <c r="K27" s="5">
        <v>6</v>
      </c>
      <c r="L27" s="5" t="s">
        <v>60</v>
      </c>
      <c r="M27" s="5" t="s">
        <v>83</v>
      </c>
      <c r="N27" s="5" t="s">
        <v>68</v>
      </c>
      <c r="O27" s="5" t="s">
        <v>83</v>
      </c>
      <c r="P27" s="5" t="s">
        <v>62</v>
      </c>
      <c r="Q27" s="5" t="s">
        <v>72</v>
      </c>
      <c r="R27" s="5" t="s">
        <v>73</v>
      </c>
      <c r="S27" s="5" t="s">
        <v>77</v>
      </c>
      <c r="T27" s="5" t="s">
        <v>77</v>
      </c>
      <c r="U27" s="5" t="s">
        <v>89</v>
      </c>
      <c r="V27" s="5" t="s">
        <v>74</v>
      </c>
      <c r="W27" s="5" t="s">
        <v>90</v>
      </c>
      <c r="X27" s="5" t="s">
        <v>75</v>
      </c>
      <c r="Y27" s="5" t="s">
        <v>53</v>
      </c>
      <c r="Z27" s="5" t="s">
        <v>86</v>
      </c>
      <c r="AA27" s="5" t="s">
        <v>55</v>
      </c>
      <c r="AB27" s="5" t="s">
        <v>56</v>
      </c>
      <c r="AC27" s="5" t="s">
        <v>95</v>
      </c>
      <c r="AD27" s="5" t="s">
        <v>81</v>
      </c>
      <c r="AE27" s="5" t="s">
        <v>68</v>
      </c>
      <c r="AF27" s="5">
        <v>4</v>
      </c>
      <c r="AG27" s="5">
        <v>3</v>
      </c>
      <c r="AH27" s="5">
        <v>3</v>
      </c>
      <c r="AI27" s="5">
        <v>4</v>
      </c>
      <c r="AJ27" s="5">
        <v>4</v>
      </c>
      <c r="AK27" s="5">
        <v>4</v>
      </c>
      <c r="AL27" s="5">
        <v>4</v>
      </c>
      <c r="AM27" s="5">
        <v>4</v>
      </c>
      <c r="AN27" s="5">
        <v>4</v>
      </c>
      <c r="AO27" s="6">
        <v>3</v>
      </c>
    </row>
    <row r="28" spans="1:41" ht="15.75" customHeight="1" x14ac:dyDescent="0.25">
      <c r="A28" s="1">
        <v>45770.938004328702</v>
      </c>
      <c r="B28" s="2">
        <v>22</v>
      </c>
      <c r="C28" s="2">
        <v>6</v>
      </c>
      <c r="D28" s="2">
        <v>10</v>
      </c>
      <c r="E28" s="2">
        <v>1</v>
      </c>
      <c r="F28" s="2">
        <v>3</v>
      </c>
      <c r="G28" s="2">
        <v>6</v>
      </c>
      <c r="H28" s="2">
        <v>3</v>
      </c>
      <c r="I28" s="2">
        <v>3</v>
      </c>
      <c r="J28" s="2">
        <v>0</v>
      </c>
      <c r="K28" s="2">
        <v>6</v>
      </c>
      <c r="L28" s="2" t="s">
        <v>60</v>
      </c>
      <c r="M28" s="2" t="s">
        <v>61</v>
      </c>
      <c r="N28" s="2" t="s">
        <v>43</v>
      </c>
      <c r="O28" s="2" t="s">
        <v>42</v>
      </c>
      <c r="P28" s="2" t="s">
        <v>62</v>
      </c>
      <c r="Q28" s="2" t="s">
        <v>72</v>
      </c>
      <c r="R28" s="2" t="s">
        <v>73</v>
      </c>
      <c r="S28" s="2" t="s">
        <v>83</v>
      </c>
      <c r="T28" s="2" t="s">
        <v>61</v>
      </c>
      <c r="U28" s="2" t="s">
        <v>63</v>
      </c>
      <c r="V28" s="2" t="s">
        <v>78</v>
      </c>
      <c r="W28" s="2" t="s">
        <v>79</v>
      </c>
      <c r="X28" s="2" t="s">
        <v>75</v>
      </c>
      <c r="Y28" s="2" t="s">
        <v>91</v>
      </c>
      <c r="Z28" s="2" t="s">
        <v>54</v>
      </c>
      <c r="AA28" s="2" t="s">
        <v>55</v>
      </c>
      <c r="AB28" s="2" t="s">
        <v>87</v>
      </c>
      <c r="AC28" s="2" t="s">
        <v>95</v>
      </c>
      <c r="AD28" s="2" t="s">
        <v>58</v>
      </c>
      <c r="AE28" s="2" t="s">
        <v>97</v>
      </c>
      <c r="AF28" s="2">
        <v>3</v>
      </c>
      <c r="AG28" s="2">
        <v>3</v>
      </c>
      <c r="AH28" s="2">
        <v>3</v>
      </c>
      <c r="AI28" s="2">
        <v>3</v>
      </c>
      <c r="AJ28" s="2">
        <v>3</v>
      </c>
      <c r="AK28" s="2">
        <v>3</v>
      </c>
      <c r="AL28" s="2">
        <v>3</v>
      </c>
      <c r="AM28" s="2">
        <v>3</v>
      </c>
      <c r="AN28" s="2">
        <v>3</v>
      </c>
      <c r="AO28" s="3">
        <v>3</v>
      </c>
    </row>
    <row r="29" spans="1:41" ht="15.75" customHeight="1" x14ac:dyDescent="0.25">
      <c r="A29" s="4">
        <v>45770.938090138894</v>
      </c>
      <c r="B29" s="5">
        <v>19</v>
      </c>
      <c r="C29" s="5">
        <v>6</v>
      </c>
      <c r="D29" s="5">
        <v>20</v>
      </c>
      <c r="E29" s="5">
        <v>0</v>
      </c>
      <c r="F29" s="5">
        <v>3</v>
      </c>
      <c r="G29" s="5">
        <v>6</v>
      </c>
      <c r="H29" s="5">
        <v>3</v>
      </c>
      <c r="I29" s="5">
        <v>0</v>
      </c>
      <c r="J29" s="5">
        <v>0</v>
      </c>
      <c r="K29" s="5">
        <v>0</v>
      </c>
      <c r="L29" s="5" t="s">
        <v>60</v>
      </c>
      <c r="M29" s="5" t="s">
        <v>61</v>
      </c>
      <c r="N29" s="5" t="s">
        <v>68</v>
      </c>
      <c r="O29" s="5" t="s">
        <v>83</v>
      </c>
      <c r="P29" s="5" t="s">
        <v>62</v>
      </c>
      <c r="Q29" s="5" t="s">
        <v>72</v>
      </c>
      <c r="R29" s="5" t="s">
        <v>73</v>
      </c>
      <c r="S29" s="5" t="s">
        <v>77</v>
      </c>
      <c r="T29" s="5" t="s">
        <v>77</v>
      </c>
      <c r="U29" s="5" t="s">
        <v>63</v>
      </c>
      <c r="V29" s="5" t="s">
        <v>50</v>
      </c>
      <c r="W29" s="5" t="s">
        <v>90</v>
      </c>
      <c r="X29" s="5" t="s">
        <v>75</v>
      </c>
      <c r="Y29" s="5" t="s">
        <v>53</v>
      </c>
      <c r="Z29" s="5" t="s">
        <v>65</v>
      </c>
      <c r="AA29" s="5" t="s">
        <v>99</v>
      </c>
      <c r="AB29" s="5" t="s">
        <v>56</v>
      </c>
      <c r="AC29" s="5" t="s">
        <v>68</v>
      </c>
      <c r="AD29" s="5" t="s">
        <v>81</v>
      </c>
      <c r="AE29" s="5" t="s">
        <v>97</v>
      </c>
      <c r="AF29" s="5">
        <v>5</v>
      </c>
      <c r="AG29" s="5">
        <v>3</v>
      </c>
      <c r="AH29" s="5">
        <v>2</v>
      </c>
      <c r="AI29" s="5">
        <v>5</v>
      </c>
      <c r="AJ29" s="5">
        <v>4</v>
      </c>
      <c r="AK29" s="5">
        <v>5</v>
      </c>
      <c r="AL29" s="5">
        <v>3</v>
      </c>
      <c r="AM29" s="5">
        <v>4</v>
      </c>
      <c r="AN29" s="5">
        <v>2</v>
      </c>
      <c r="AO29" s="6">
        <v>1</v>
      </c>
    </row>
    <row r="30" spans="1:41" ht="15.75" customHeight="1" x14ac:dyDescent="0.25">
      <c r="A30" s="1">
        <v>45770.945081273152</v>
      </c>
      <c r="B30" s="2">
        <v>20</v>
      </c>
      <c r="C30" s="2">
        <v>8</v>
      </c>
      <c r="D30" s="2">
        <v>5</v>
      </c>
      <c r="E30" s="2">
        <v>0</v>
      </c>
      <c r="F30" s="2">
        <v>2</v>
      </c>
      <c r="G30" s="2">
        <v>2</v>
      </c>
      <c r="H30" s="2">
        <v>0</v>
      </c>
      <c r="I30" s="2">
        <v>0</v>
      </c>
      <c r="J30" s="2">
        <v>0</v>
      </c>
      <c r="K30" s="2">
        <v>6</v>
      </c>
      <c r="L30" s="2" t="s">
        <v>82</v>
      </c>
      <c r="M30" s="2" t="s">
        <v>47</v>
      </c>
      <c r="N30" s="2" t="s">
        <v>68</v>
      </c>
      <c r="O30" s="2" t="s">
        <v>77</v>
      </c>
      <c r="P30" s="2" t="s">
        <v>62</v>
      </c>
      <c r="Q30" s="2" t="s">
        <v>84</v>
      </c>
      <c r="R30" s="2" t="s">
        <v>101</v>
      </c>
      <c r="S30" s="2" t="s">
        <v>77</v>
      </c>
      <c r="T30" s="2" t="s">
        <v>48</v>
      </c>
      <c r="U30" s="2" t="s">
        <v>92</v>
      </c>
      <c r="V30" s="2" t="s">
        <v>50</v>
      </c>
      <c r="W30" s="2" t="s">
        <v>51</v>
      </c>
      <c r="X30" s="2" t="s">
        <v>52</v>
      </c>
      <c r="Y30" s="2" t="s">
        <v>53</v>
      </c>
      <c r="Z30" s="2" t="s">
        <v>54</v>
      </c>
      <c r="AA30" s="2" t="s">
        <v>99</v>
      </c>
      <c r="AB30" s="2" t="s">
        <v>56</v>
      </c>
      <c r="AC30" s="2" t="s">
        <v>68</v>
      </c>
      <c r="AD30" s="2" t="s">
        <v>58</v>
      </c>
      <c r="AE30" s="2" t="s">
        <v>59</v>
      </c>
      <c r="AF30" s="2">
        <v>5</v>
      </c>
      <c r="AG30" s="2">
        <v>2</v>
      </c>
      <c r="AH30" s="2">
        <v>3</v>
      </c>
      <c r="AI30" s="2">
        <v>4</v>
      </c>
      <c r="AJ30" s="2">
        <v>5</v>
      </c>
      <c r="AK30" s="2">
        <v>5</v>
      </c>
      <c r="AL30" s="2">
        <v>5</v>
      </c>
      <c r="AM30" s="2">
        <v>5</v>
      </c>
      <c r="AN30" s="2">
        <v>1</v>
      </c>
      <c r="AO30" s="3">
        <v>2</v>
      </c>
    </row>
    <row r="31" spans="1:41" ht="15.75" customHeight="1" x14ac:dyDescent="0.25">
      <c r="A31" s="4">
        <v>45770.94721564815</v>
      </c>
      <c r="B31" s="5">
        <v>19</v>
      </c>
      <c r="C31" s="5">
        <v>6</v>
      </c>
      <c r="D31" s="5">
        <v>10</v>
      </c>
      <c r="E31" s="5">
        <v>2</v>
      </c>
      <c r="F31" s="5">
        <v>2</v>
      </c>
      <c r="G31" s="5">
        <v>2</v>
      </c>
      <c r="H31" s="5">
        <v>1</v>
      </c>
      <c r="I31" s="5">
        <v>2</v>
      </c>
      <c r="J31" s="5">
        <v>0</v>
      </c>
      <c r="K31" s="5">
        <v>4</v>
      </c>
      <c r="L31" s="5" t="s">
        <v>76</v>
      </c>
      <c r="M31" s="5" t="s">
        <v>42</v>
      </c>
      <c r="N31" s="5" t="s">
        <v>43</v>
      </c>
      <c r="O31" s="5" t="s">
        <v>42</v>
      </c>
      <c r="P31" s="5" t="s">
        <v>44</v>
      </c>
      <c r="Q31" s="5" t="s">
        <v>45</v>
      </c>
      <c r="R31" s="5" t="s">
        <v>101</v>
      </c>
      <c r="S31" s="5" t="s">
        <v>47</v>
      </c>
      <c r="T31" s="5" t="s">
        <v>42</v>
      </c>
      <c r="U31" s="5" t="s">
        <v>63</v>
      </c>
      <c r="V31" s="5" t="s">
        <v>50</v>
      </c>
      <c r="W31" s="5" t="s">
        <v>51</v>
      </c>
      <c r="X31" s="5" t="s">
        <v>52</v>
      </c>
      <c r="Y31" s="5" t="s">
        <v>91</v>
      </c>
      <c r="Z31" s="5" t="s">
        <v>65</v>
      </c>
      <c r="AA31" s="5" t="s">
        <v>55</v>
      </c>
      <c r="AB31" s="5" t="s">
        <v>56</v>
      </c>
      <c r="AC31" s="5" t="s">
        <v>68</v>
      </c>
      <c r="AD31" s="5" t="s">
        <v>96</v>
      </c>
      <c r="AE31" s="5" t="s">
        <v>59</v>
      </c>
      <c r="AF31" s="5">
        <v>5</v>
      </c>
      <c r="AG31" s="5">
        <v>4</v>
      </c>
      <c r="AH31" s="5">
        <v>4</v>
      </c>
      <c r="AI31" s="5">
        <v>3</v>
      </c>
      <c r="AJ31" s="5">
        <v>1</v>
      </c>
      <c r="AK31" s="5">
        <v>2</v>
      </c>
      <c r="AL31" s="5">
        <v>2</v>
      </c>
      <c r="AM31" s="5">
        <v>1</v>
      </c>
      <c r="AN31" s="5">
        <v>1</v>
      </c>
      <c r="AO31" s="6">
        <v>3</v>
      </c>
    </row>
    <row r="32" spans="1:41" ht="15.75" customHeight="1" x14ac:dyDescent="0.25">
      <c r="A32" s="1">
        <v>45770.947963206017</v>
      </c>
      <c r="B32" s="2">
        <v>19</v>
      </c>
      <c r="C32" s="2">
        <v>6</v>
      </c>
      <c r="D32" s="2">
        <v>20</v>
      </c>
      <c r="E32" s="2">
        <v>3</v>
      </c>
      <c r="F32" s="2">
        <v>3</v>
      </c>
      <c r="G32" s="2">
        <v>4</v>
      </c>
      <c r="H32" s="2">
        <v>2</v>
      </c>
      <c r="I32" s="2">
        <v>1</v>
      </c>
      <c r="J32" s="2">
        <v>0</v>
      </c>
      <c r="K32" s="2">
        <v>6</v>
      </c>
      <c r="L32" s="2" t="s">
        <v>76</v>
      </c>
      <c r="M32" s="2" t="s">
        <v>42</v>
      </c>
      <c r="N32" s="2" t="s">
        <v>41</v>
      </c>
      <c r="O32" s="2" t="s">
        <v>42</v>
      </c>
      <c r="P32" s="2" t="s">
        <v>62</v>
      </c>
      <c r="Q32" s="2" t="s">
        <v>98</v>
      </c>
      <c r="R32" s="2" t="s">
        <v>101</v>
      </c>
      <c r="S32" s="2" t="s">
        <v>47</v>
      </c>
      <c r="T32" s="2" t="s">
        <v>48</v>
      </c>
      <c r="U32" s="2" t="s">
        <v>92</v>
      </c>
      <c r="V32" s="2" t="s">
        <v>50</v>
      </c>
      <c r="W32" s="2" t="s">
        <v>51</v>
      </c>
      <c r="X32" s="2" t="s">
        <v>75</v>
      </c>
      <c r="Y32" s="2" t="s">
        <v>53</v>
      </c>
      <c r="Z32" s="2" t="s">
        <v>65</v>
      </c>
      <c r="AA32" s="2" t="s">
        <v>55</v>
      </c>
      <c r="AB32" s="2" t="s">
        <v>56</v>
      </c>
      <c r="AC32" s="2" t="s">
        <v>68</v>
      </c>
      <c r="AD32" s="2" t="s">
        <v>96</v>
      </c>
      <c r="AE32" s="2" t="s">
        <v>59</v>
      </c>
      <c r="AF32" s="2">
        <v>5</v>
      </c>
      <c r="AG32" s="2">
        <v>3</v>
      </c>
      <c r="AH32" s="2">
        <v>3</v>
      </c>
      <c r="AI32" s="2">
        <v>4</v>
      </c>
      <c r="AJ32" s="2">
        <v>3</v>
      </c>
      <c r="AK32" s="2">
        <v>3</v>
      </c>
      <c r="AL32" s="2">
        <v>5</v>
      </c>
      <c r="AM32" s="2">
        <v>3</v>
      </c>
      <c r="AN32" s="2">
        <v>5</v>
      </c>
      <c r="AO32" s="3">
        <v>2</v>
      </c>
    </row>
    <row r="33" spans="1:41" ht="15.75" customHeight="1" x14ac:dyDescent="0.25">
      <c r="A33" s="4">
        <v>45770.949270069439</v>
      </c>
      <c r="B33" s="5">
        <v>19</v>
      </c>
      <c r="C33" s="5">
        <v>10</v>
      </c>
      <c r="D33" s="5">
        <v>15</v>
      </c>
      <c r="E33" s="5">
        <v>3</v>
      </c>
      <c r="F33" s="5">
        <v>2</v>
      </c>
      <c r="G33" s="5">
        <v>2</v>
      </c>
      <c r="H33" s="5">
        <v>0</v>
      </c>
      <c r="I33" s="5">
        <v>0</v>
      </c>
      <c r="J33" s="5">
        <v>0</v>
      </c>
      <c r="K33" s="5">
        <v>6</v>
      </c>
      <c r="L33" s="5" t="s">
        <v>82</v>
      </c>
      <c r="M33" s="5" t="s">
        <v>42</v>
      </c>
      <c r="N33" s="5" t="s">
        <v>41</v>
      </c>
      <c r="O33" s="5" t="s">
        <v>83</v>
      </c>
      <c r="P33" s="5" t="s">
        <v>94</v>
      </c>
      <c r="Q33" s="5" t="s">
        <v>84</v>
      </c>
      <c r="R33" s="5" t="s">
        <v>85</v>
      </c>
      <c r="S33" s="5" t="s">
        <v>88</v>
      </c>
      <c r="T33" s="5" t="s">
        <v>61</v>
      </c>
      <c r="U33" s="5" t="s">
        <v>92</v>
      </c>
      <c r="V33" s="5" t="s">
        <v>50</v>
      </c>
      <c r="W33" s="5" t="s">
        <v>51</v>
      </c>
      <c r="X33" s="5" t="s">
        <v>52</v>
      </c>
      <c r="Y33" s="5" t="s">
        <v>53</v>
      </c>
      <c r="Z33" s="5" t="s">
        <v>68</v>
      </c>
      <c r="AA33" s="5" t="s">
        <v>99</v>
      </c>
      <c r="AB33" s="5" t="s">
        <v>56</v>
      </c>
      <c r="AC33" s="5" t="s">
        <v>57</v>
      </c>
      <c r="AD33" s="5" t="s">
        <v>58</v>
      </c>
      <c r="AE33" s="5" t="s">
        <v>59</v>
      </c>
      <c r="AF33" s="5">
        <v>4</v>
      </c>
      <c r="AG33" s="5">
        <v>4</v>
      </c>
      <c r="AH33" s="5">
        <v>4</v>
      </c>
      <c r="AI33" s="5">
        <v>5</v>
      </c>
      <c r="AJ33" s="5">
        <v>1</v>
      </c>
      <c r="AK33" s="5">
        <v>5</v>
      </c>
      <c r="AL33" s="5">
        <v>5</v>
      </c>
      <c r="AM33" s="5">
        <v>5</v>
      </c>
      <c r="AN33" s="5">
        <v>2</v>
      </c>
      <c r="AO33" s="6">
        <v>4</v>
      </c>
    </row>
    <row r="34" spans="1:41" ht="15.75" customHeight="1" x14ac:dyDescent="0.25">
      <c r="A34" s="1">
        <v>45770.950194097226</v>
      </c>
      <c r="B34" s="2">
        <v>21</v>
      </c>
      <c r="C34" s="2">
        <v>6</v>
      </c>
      <c r="D34" s="2">
        <v>20</v>
      </c>
      <c r="E34" s="2">
        <v>3</v>
      </c>
      <c r="F34" s="2">
        <v>3</v>
      </c>
      <c r="G34" s="2">
        <v>6</v>
      </c>
      <c r="H34" s="2">
        <v>3</v>
      </c>
      <c r="I34" s="2">
        <v>0</v>
      </c>
      <c r="J34" s="2">
        <v>0</v>
      </c>
      <c r="K34" s="2">
        <v>2</v>
      </c>
      <c r="L34" s="2" t="s">
        <v>41</v>
      </c>
      <c r="M34" s="2" t="s">
        <v>47</v>
      </c>
      <c r="N34" s="2" t="s">
        <v>43</v>
      </c>
      <c r="O34" s="2" t="s">
        <v>83</v>
      </c>
      <c r="P34" s="2" t="s">
        <v>44</v>
      </c>
      <c r="Q34" s="2" t="s">
        <v>84</v>
      </c>
      <c r="R34" s="2" t="s">
        <v>101</v>
      </c>
      <c r="S34" s="2" t="s">
        <v>77</v>
      </c>
      <c r="T34" s="2" t="s">
        <v>77</v>
      </c>
      <c r="U34" s="2" t="s">
        <v>49</v>
      </c>
      <c r="V34" s="2" t="s">
        <v>50</v>
      </c>
      <c r="W34" s="2" t="s">
        <v>79</v>
      </c>
      <c r="X34" s="2" t="s">
        <v>75</v>
      </c>
      <c r="Y34" s="2" t="s">
        <v>53</v>
      </c>
      <c r="Z34" s="2" t="s">
        <v>65</v>
      </c>
      <c r="AA34" s="2" t="s">
        <v>55</v>
      </c>
      <c r="AB34" s="2" t="s">
        <v>56</v>
      </c>
      <c r="AC34" s="2" t="s">
        <v>68</v>
      </c>
      <c r="AD34" s="2" t="s">
        <v>69</v>
      </c>
      <c r="AE34" s="2" t="s">
        <v>97</v>
      </c>
      <c r="AF34" s="2">
        <v>1</v>
      </c>
      <c r="AG34" s="2">
        <v>1</v>
      </c>
      <c r="AH34" s="2">
        <v>1</v>
      </c>
      <c r="AI34" s="2">
        <v>1</v>
      </c>
      <c r="AJ34" s="2">
        <v>3</v>
      </c>
      <c r="AK34" s="2">
        <v>3</v>
      </c>
      <c r="AL34" s="2">
        <v>3</v>
      </c>
      <c r="AM34" s="2">
        <v>3</v>
      </c>
      <c r="AN34" s="2">
        <v>3</v>
      </c>
      <c r="AO34" s="3">
        <v>3</v>
      </c>
    </row>
    <row r="35" spans="1:41" ht="15.75" customHeight="1" x14ac:dyDescent="0.25">
      <c r="A35" s="4">
        <v>45770.950255057869</v>
      </c>
      <c r="B35" s="5">
        <v>19</v>
      </c>
      <c r="C35" s="5">
        <v>10</v>
      </c>
      <c r="D35" s="5">
        <v>10</v>
      </c>
      <c r="E35" s="5">
        <v>0</v>
      </c>
      <c r="F35" s="5">
        <v>3</v>
      </c>
      <c r="G35" s="5">
        <v>6</v>
      </c>
      <c r="H35" s="5">
        <v>2</v>
      </c>
      <c r="I35" s="5">
        <v>2</v>
      </c>
      <c r="J35" s="5">
        <v>0</v>
      </c>
      <c r="K35" s="5">
        <v>6</v>
      </c>
      <c r="L35" s="5" t="s">
        <v>76</v>
      </c>
      <c r="M35" s="5" t="s">
        <v>42</v>
      </c>
      <c r="N35" s="5" t="s">
        <v>68</v>
      </c>
      <c r="O35" s="5" t="s">
        <v>61</v>
      </c>
      <c r="P35" s="5" t="s">
        <v>44</v>
      </c>
      <c r="Q35" s="5" t="s">
        <v>84</v>
      </c>
      <c r="R35" s="5" t="s">
        <v>73</v>
      </c>
      <c r="S35" s="5" t="s">
        <v>88</v>
      </c>
      <c r="T35" s="5" t="s">
        <v>77</v>
      </c>
      <c r="U35" s="5" t="s">
        <v>63</v>
      </c>
      <c r="V35" s="5" t="s">
        <v>50</v>
      </c>
      <c r="W35" s="5" t="s">
        <v>51</v>
      </c>
      <c r="X35" s="5" t="s">
        <v>52</v>
      </c>
      <c r="Y35" s="5" t="s">
        <v>53</v>
      </c>
      <c r="Z35" s="5" t="s">
        <v>65</v>
      </c>
      <c r="AA35" s="5" t="s">
        <v>66</v>
      </c>
      <c r="AB35" s="5" t="s">
        <v>56</v>
      </c>
      <c r="AC35" s="5" t="s">
        <v>68</v>
      </c>
      <c r="AD35" s="5" t="s">
        <v>96</v>
      </c>
      <c r="AE35" s="5" t="s">
        <v>68</v>
      </c>
      <c r="AF35" s="5">
        <v>5</v>
      </c>
      <c r="AG35" s="5">
        <v>5</v>
      </c>
      <c r="AH35" s="5">
        <v>5</v>
      </c>
      <c r="AI35" s="5">
        <v>5</v>
      </c>
      <c r="AJ35" s="5">
        <v>1</v>
      </c>
      <c r="AK35" s="5">
        <v>1</v>
      </c>
      <c r="AL35" s="5">
        <v>1</v>
      </c>
      <c r="AM35" s="5">
        <v>1</v>
      </c>
      <c r="AN35" s="5">
        <v>1</v>
      </c>
      <c r="AO35" s="6">
        <v>4</v>
      </c>
    </row>
    <row r="36" spans="1:41" ht="15.75" customHeight="1" x14ac:dyDescent="0.25">
      <c r="A36" s="1">
        <v>45770.951965590277</v>
      </c>
      <c r="B36" s="2">
        <v>19</v>
      </c>
      <c r="C36" s="2">
        <v>8</v>
      </c>
      <c r="D36" s="2">
        <v>5</v>
      </c>
      <c r="E36" s="2">
        <v>3</v>
      </c>
      <c r="F36" s="2">
        <v>3</v>
      </c>
      <c r="G36" s="2">
        <v>6</v>
      </c>
      <c r="H36" s="2">
        <v>0</v>
      </c>
      <c r="I36" s="2">
        <v>2</v>
      </c>
      <c r="J36" s="2">
        <v>0</v>
      </c>
      <c r="K36" s="2">
        <v>6</v>
      </c>
      <c r="L36" s="2" t="s">
        <v>41</v>
      </c>
      <c r="M36" s="2" t="s">
        <v>83</v>
      </c>
      <c r="N36" s="2" t="s">
        <v>68</v>
      </c>
      <c r="O36" s="2" t="s">
        <v>42</v>
      </c>
      <c r="P36" s="2" t="s">
        <v>44</v>
      </c>
      <c r="Q36" s="2" t="s">
        <v>98</v>
      </c>
      <c r="R36" s="2" t="s">
        <v>101</v>
      </c>
      <c r="S36" s="2" t="s">
        <v>88</v>
      </c>
      <c r="T36" s="2" t="s">
        <v>42</v>
      </c>
      <c r="U36" s="2" t="s">
        <v>63</v>
      </c>
      <c r="V36" s="2" t="s">
        <v>74</v>
      </c>
      <c r="W36" s="2" t="s">
        <v>90</v>
      </c>
      <c r="X36" s="2" t="s">
        <v>52</v>
      </c>
      <c r="Y36" s="2" t="s">
        <v>53</v>
      </c>
      <c r="Z36" s="2" t="s">
        <v>54</v>
      </c>
      <c r="AA36" s="2" t="s">
        <v>66</v>
      </c>
      <c r="AB36" s="2" t="s">
        <v>56</v>
      </c>
      <c r="AC36" s="2" t="s">
        <v>68</v>
      </c>
      <c r="AD36" s="2" t="s">
        <v>81</v>
      </c>
      <c r="AE36" s="2" t="s">
        <v>97</v>
      </c>
      <c r="AF36" s="2">
        <v>2</v>
      </c>
      <c r="AG36" s="2">
        <v>2</v>
      </c>
      <c r="AH36" s="2">
        <v>1</v>
      </c>
      <c r="AI36" s="2">
        <v>3</v>
      </c>
      <c r="AJ36" s="2">
        <v>3</v>
      </c>
      <c r="AK36" s="2">
        <v>4</v>
      </c>
      <c r="AL36" s="2">
        <v>3</v>
      </c>
      <c r="AM36" s="2">
        <v>4</v>
      </c>
      <c r="AN36" s="2">
        <v>1</v>
      </c>
      <c r="AO36" s="3">
        <v>2</v>
      </c>
    </row>
    <row r="37" spans="1:41" ht="15.75" customHeight="1" x14ac:dyDescent="0.25">
      <c r="A37" s="4">
        <v>45770.95268037037</v>
      </c>
      <c r="B37" s="5">
        <v>22</v>
      </c>
      <c r="C37" s="5">
        <v>6</v>
      </c>
      <c r="D37" s="5">
        <v>5</v>
      </c>
      <c r="E37" s="5">
        <v>0</v>
      </c>
      <c r="F37" s="5">
        <v>0</v>
      </c>
      <c r="G37" s="5">
        <v>6</v>
      </c>
      <c r="H37" s="5">
        <v>0</v>
      </c>
      <c r="I37" s="5">
        <v>0</v>
      </c>
      <c r="J37" s="5">
        <v>0</v>
      </c>
      <c r="K37" s="5">
        <v>4</v>
      </c>
      <c r="L37" s="5" t="s">
        <v>82</v>
      </c>
      <c r="M37" s="5" t="s">
        <v>47</v>
      </c>
      <c r="N37" s="5" t="s">
        <v>68</v>
      </c>
      <c r="O37" s="5" t="s">
        <v>77</v>
      </c>
      <c r="P37" s="5" t="s">
        <v>44</v>
      </c>
      <c r="Q37" s="5" t="s">
        <v>84</v>
      </c>
      <c r="R37" s="5" t="s">
        <v>101</v>
      </c>
      <c r="S37" s="5" t="s">
        <v>88</v>
      </c>
      <c r="T37" s="5" t="s">
        <v>61</v>
      </c>
      <c r="U37" s="5" t="s">
        <v>92</v>
      </c>
      <c r="V37" s="5" t="s">
        <v>78</v>
      </c>
      <c r="W37" s="5" t="s">
        <v>79</v>
      </c>
      <c r="X37" s="5" t="s">
        <v>52</v>
      </c>
      <c r="Y37" s="5" t="s">
        <v>53</v>
      </c>
      <c r="Z37" s="5" t="s">
        <v>54</v>
      </c>
      <c r="AA37" s="5" t="s">
        <v>66</v>
      </c>
      <c r="AB37" s="5" t="s">
        <v>56</v>
      </c>
      <c r="AC37" s="5" t="s">
        <v>100</v>
      </c>
      <c r="AD37" s="5" t="s">
        <v>58</v>
      </c>
      <c r="AE37" s="5" t="s">
        <v>68</v>
      </c>
      <c r="AF37" s="5">
        <v>5</v>
      </c>
      <c r="AG37" s="5">
        <v>5</v>
      </c>
      <c r="AH37" s="5">
        <v>5</v>
      </c>
      <c r="AI37" s="5">
        <v>5</v>
      </c>
      <c r="AJ37" s="5">
        <v>1</v>
      </c>
      <c r="AK37" s="5">
        <v>1</v>
      </c>
      <c r="AL37" s="5">
        <v>1</v>
      </c>
      <c r="AM37" s="5">
        <v>4</v>
      </c>
      <c r="AN37" s="5">
        <v>4</v>
      </c>
      <c r="AO37" s="6">
        <v>4</v>
      </c>
    </row>
    <row r="38" spans="1:41" ht="15.75" customHeight="1" x14ac:dyDescent="0.25">
      <c r="A38" s="1">
        <v>45770.95399981481</v>
      </c>
      <c r="B38" s="2">
        <v>21</v>
      </c>
      <c r="C38" s="2">
        <v>4</v>
      </c>
      <c r="D38" s="2">
        <v>20</v>
      </c>
      <c r="E38" s="2">
        <v>3</v>
      </c>
      <c r="F38" s="2">
        <v>3</v>
      </c>
      <c r="G38" s="2">
        <v>4</v>
      </c>
      <c r="H38" s="2">
        <v>3</v>
      </c>
      <c r="I38" s="2">
        <v>3</v>
      </c>
      <c r="J38" s="2">
        <v>3</v>
      </c>
      <c r="K38" s="2">
        <v>6</v>
      </c>
      <c r="L38" s="2" t="s">
        <v>41</v>
      </c>
      <c r="M38" s="2" t="s">
        <v>47</v>
      </c>
      <c r="N38" s="2" t="s">
        <v>70</v>
      </c>
      <c r="O38" s="2" t="s">
        <v>61</v>
      </c>
      <c r="P38" s="2" t="s">
        <v>94</v>
      </c>
      <c r="Q38" s="2" t="s">
        <v>84</v>
      </c>
      <c r="R38" s="2" t="s">
        <v>85</v>
      </c>
      <c r="S38" s="2" t="s">
        <v>88</v>
      </c>
      <c r="T38" s="2" t="s">
        <v>61</v>
      </c>
      <c r="U38" s="2" t="s">
        <v>92</v>
      </c>
      <c r="V38" s="2" t="s">
        <v>74</v>
      </c>
      <c r="W38" s="2" t="s">
        <v>79</v>
      </c>
      <c r="X38" s="2" t="s">
        <v>75</v>
      </c>
      <c r="Y38" s="2" t="s">
        <v>53</v>
      </c>
      <c r="Z38" s="2" t="s">
        <v>68</v>
      </c>
      <c r="AA38" s="2" t="s">
        <v>66</v>
      </c>
      <c r="AB38" s="2" t="s">
        <v>87</v>
      </c>
      <c r="AC38" s="2" t="s">
        <v>57</v>
      </c>
      <c r="AD38" s="2" t="s">
        <v>58</v>
      </c>
      <c r="AE38" s="2" t="s">
        <v>59</v>
      </c>
      <c r="AF38" s="2">
        <v>1</v>
      </c>
      <c r="AG38" s="2">
        <v>1</v>
      </c>
      <c r="AH38" s="2">
        <v>1</v>
      </c>
      <c r="AI38" s="2">
        <v>1</v>
      </c>
      <c r="AJ38" s="2">
        <v>5</v>
      </c>
      <c r="AK38" s="2">
        <v>5</v>
      </c>
      <c r="AL38" s="2">
        <v>5</v>
      </c>
      <c r="AM38" s="2">
        <v>5</v>
      </c>
      <c r="AN38" s="2">
        <v>5</v>
      </c>
      <c r="AO38" s="3">
        <v>5</v>
      </c>
    </row>
    <row r="39" spans="1:41" ht="15.75" customHeight="1" x14ac:dyDescent="0.25">
      <c r="A39" s="4">
        <v>45770.954537407408</v>
      </c>
      <c r="B39" s="5">
        <v>21</v>
      </c>
      <c r="C39" s="5">
        <v>6</v>
      </c>
      <c r="D39" s="5">
        <v>10</v>
      </c>
      <c r="E39" s="5">
        <v>1</v>
      </c>
      <c r="F39" s="5">
        <v>3</v>
      </c>
      <c r="G39" s="5">
        <v>6</v>
      </c>
      <c r="H39" s="5">
        <v>0</v>
      </c>
      <c r="I39" s="5">
        <v>3</v>
      </c>
      <c r="J39" s="5">
        <v>0</v>
      </c>
      <c r="K39" s="5">
        <v>0</v>
      </c>
      <c r="L39" s="5" t="s">
        <v>76</v>
      </c>
      <c r="M39" s="5" t="s">
        <v>83</v>
      </c>
      <c r="N39" s="5" t="s">
        <v>68</v>
      </c>
      <c r="O39" s="5" t="s">
        <v>83</v>
      </c>
      <c r="P39" s="5" t="s">
        <v>44</v>
      </c>
      <c r="Q39" s="5" t="s">
        <v>72</v>
      </c>
      <c r="R39" s="5" t="s">
        <v>73</v>
      </c>
      <c r="S39" s="5" t="s">
        <v>47</v>
      </c>
      <c r="T39" s="5" t="s">
        <v>42</v>
      </c>
      <c r="U39" s="5" t="s">
        <v>92</v>
      </c>
      <c r="V39" s="5" t="s">
        <v>74</v>
      </c>
      <c r="W39" s="5" t="s">
        <v>79</v>
      </c>
      <c r="X39" s="5" t="s">
        <v>75</v>
      </c>
      <c r="Y39" s="5" t="s">
        <v>53</v>
      </c>
      <c r="Z39" s="5" t="s">
        <v>54</v>
      </c>
      <c r="AA39" s="5" t="s">
        <v>99</v>
      </c>
      <c r="AB39" s="5" t="s">
        <v>56</v>
      </c>
      <c r="AC39" s="5" t="s">
        <v>95</v>
      </c>
      <c r="AD39" s="5" t="s">
        <v>58</v>
      </c>
      <c r="AE39" s="5" t="s">
        <v>59</v>
      </c>
      <c r="AF39" s="5">
        <v>5</v>
      </c>
      <c r="AG39" s="5">
        <v>3</v>
      </c>
      <c r="AH39" s="5">
        <v>2</v>
      </c>
      <c r="AI39" s="5">
        <v>3</v>
      </c>
      <c r="AJ39" s="5">
        <v>2</v>
      </c>
      <c r="AK39" s="5">
        <v>1</v>
      </c>
      <c r="AL39" s="5">
        <v>3</v>
      </c>
      <c r="AM39" s="5">
        <v>2</v>
      </c>
      <c r="AN39" s="5">
        <v>5</v>
      </c>
      <c r="AO39" s="6">
        <v>4</v>
      </c>
    </row>
    <row r="40" spans="1:41" ht="15.75" customHeight="1" x14ac:dyDescent="0.25">
      <c r="A40" s="1">
        <v>45770.954725162039</v>
      </c>
      <c r="B40" s="2">
        <v>22</v>
      </c>
      <c r="C40" s="2">
        <v>8</v>
      </c>
      <c r="D40" s="2">
        <v>20</v>
      </c>
      <c r="E40" s="2">
        <v>2</v>
      </c>
      <c r="F40" s="2">
        <v>3</v>
      </c>
      <c r="G40" s="2">
        <v>6</v>
      </c>
      <c r="H40" s="2">
        <v>1</v>
      </c>
      <c r="I40" s="2">
        <v>2</v>
      </c>
      <c r="J40" s="2">
        <v>3</v>
      </c>
      <c r="K40" s="2">
        <v>6</v>
      </c>
      <c r="L40" s="2" t="s">
        <v>60</v>
      </c>
      <c r="M40" s="2" t="s">
        <v>61</v>
      </c>
      <c r="N40" s="2" t="s">
        <v>70</v>
      </c>
      <c r="O40" s="2" t="s">
        <v>42</v>
      </c>
      <c r="P40" s="2" t="s">
        <v>71</v>
      </c>
      <c r="Q40" s="2" t="s">
        <v>84</v>
      </c>
      <c r="R40" s="2" t="s">
        <v>85</v>
      </c>
      <c r="S40" s="2" t="s">
        <v>88</v>
      </c>
      <c r="T40" s="2" t="s">
        <v>61</v>
      </c>
      <c r="U40" s="2" t="s">
        <v>89</v>
      </c>
      <c r="V40" s="2" t="s">
        <v>74</v>
      </c>
      <c r="W40" s="2" t="s">
        <v>51</v>
      </c>
      <c r="X40" s="2" t="s">
        <v>52</v>
      </c>
      <c r="Y40" s="2" t="s">
        <v>53</v>
      </c>
      <c r="Z40" s="2" t="s">
        <v>68</v>
      </c>
      <c r="AA40" s="2" t="s">
        <v>99</v>
      </c>
      <c r="AB40" s="2" t="s">
        <v>56</v>
      </c>
      <c r="AC40" s="2" t="s">
        <v>100</v>
      </c>
      <c r="AD40" s="2" t="s">
        <v>58</v>
      </c>
      <c r="AE40" s="2" t="s">
        <v>59</v>
      </c>
      <c r="AF40" s="2">
        <v>1</v>
      </c>
      <c r="AG40" s="2">
        <v>1</v>
      </c>
      <c r="AH40" s="2">
        <v>1</v>
      </c>
      <c r="AI40" s="2">
        <v>1</v>
      </c>
      <c r="AJ40" s="2">
        <v>5</v>
      </c>
      <c r="AK40" s="2">
        <v>5</v>
      </c>
      <c r="AL40" s="2">
        <v>5</v>
      </c>
      <c r="AM40" s="2">
        <v>5</v>
      </c>
      <c r="AN40" s="2">
        <v>5</v>
      </c>
      <c r="AO40" s="3">
        <v>5</v>
      </c>
    </row>
    <row r="41" spans="1:41" ht="15.75" customHeight="1" x14ac:dyDescent="0.25">
      <c r="A41" s="4">
        <v>45770.955625219911</v>
      </c>
      <c r="B41" s="5">
        <v>21</v>
      </c>
      <c r="C41" s="5">
        <v>4</v>
      </c>
      <c r="D41" s="5">
        <v>20</v>
      </c>
      <c r="E41" s="5">
        <v>0</v>
      </c>
      <c r="F41" s="5">
        <v>3</v>
      </c>
      <c r="G41" s="5">
        <v>6</v>
      </c>
      <c r="H41" s="5">
        <v>3</v>
      </c>
      <c r="I41" s="5">
        <v>3</v>
      </c>
      <c r="J41" s="5">
        <v>1</v>
      </c>
      <c r="K41" s="5">
        <v>6</v>
      </c>
      <c r="L41" s="5" t="s">
        <v>76</v>
      </c>
      <c r="M41" s="5" t="s">
        <v>42</v>
      </c>
      <c r="N41" s="5" t="s">
        <v>70</v>
      </c>
      <c r="O41" s="5" t="s">
        <v>61</v>
      </c>
      <c r="P41" s="5" t="s">
        <v>94</v>
      </c>
      <c r="Q41" s="5" t="s">
        <v>72</v>
      </c>
      <c r="R41" s="5" t="s">
        <v>85</v>
      </c>
      <c r="S41" s="5" t="s">
        <v>88</v>
      </c>
      <c r="T41" s="5" t="s">
        <v>61</v>
      </c>
      <c r="U41" s="5" t="s">
        <v>92</v>
      </c>
      <c r="V41" s="5" t="s">
        <v>50</v>
      </c>
      <c r="W41" s="5" t="s">
        <v>90</v>
      </c>
      <c r="X41" s="5" t="s">
        <v>75</v>
      </c>
      <c r="Y41" s="5" t="s">
        <v>53</v>
      </c>
      <c r="Z41" s="5" t="s">
        <v>54</v>
      </c>
      <c r="AA41" s="5" t="s">
        <v>99</v>
      </c>
      <c r="AB41" s="5" t="s">
        <v>56</v>
      </c>
      <c r="AC41" s="5" t="s">
        <v>68</v>
      </c>
      <c r="AD41" s="5" t="s">
        <v>69</v>
      </c>
      <c r="AE41" s="5" t="s">
        <v>68</v>
      </c>
      <c r="AF41" s="5">
        <v>1</v>
      </c>
      <c r="AG41" s="5">
        <v>1</v>
      </c>
      <c r="AH41" s="5">
        <v>1</v>
      </c>
      <c r="AI41" s="5">
        <v>1</v>
      </c>
      <c r="AJ41" s="5">
        <v>5</v>
      </c>
      <c r="AK41" s="5">
        <v>5</v>
      </c>
      <c r="AL41" s="5">
        <v>5</v>
      </c>
      <c r="AM41" s="5">
        <v>5</v>
      </c>
      <c r="AN41" s="5">
        <v>5</v>
      </c>
      <c r="AO41" s="6">
        <v>5</v>
      </c>
    </row>
    <row r="42" spans="1:41" ht="15.75" customHeight="1" x14ac:dyDescent="0.25">
      <c r="A42" s="1">
        <v>45770.955813217588</v>
      </c>
      <c r="B42" s="2">
        <v>19</v>
      </c>
      <c r="C42" s="2">
        <v>8</v>
      </c>
      <c r="D42" s="2">
        <v>5</v>
      </c>
      <c r="E42" s="2">
        <v>1</v>
      </c>
      <c r="F42" s="2">
        <v>3</v>
      </c>
      <c r="G42" s="2">
        <v>6</v>
      </c>
      <c r="H42" s="2">
        <v>0</v>
      </c>
      <c r="I42" s="2">
        <v>3</v>
      </c>
      <c r="J42" s="2">
        <v>0</v>
      </c>
      <c r="K42" s="2">
        <v>6</v>
      </c>
      <c r="L42" s="2" t="s">
        <v>41</v>
      </c>
      <c r="M42" s="2" t="s">
        <v>83</v>
      </c>
      <c r="N42" s="2" t="s">
        <v>43</v>
      </c>
      <c r="O42" s="2" t="s">
        <v>77</v>
      </c>
      <c r="P42" s="2" t="s">
        <v>44</v>
      </c>
      <c r="Q42" s="2" t="s">
        <v>98</v>
      </c>
      <c r="R42" s="2" t="s">
        <v>73</v>
      </c>
      <c r="S42" s="2" t="s">
        <v>83</v>
      </c>
      <c r="T42" s="2" t="s">
        <v>48</v>
      </c>
      <c r="U42" s="2" t="s">
        <v>63</v>
      </c>
      <c r="V42" s="2" t="s">
        <v>64</v>
      </c>
      <c r="W42" s="2" t="s">
        <v>51</v>
      </c>
      <c r="X42" s="2" t="s">
        <v>75</v>
      </c>
      <c r="Y42" s="2" t="s">
        <v>53</v>
      </c>
      <c r="Z42" s="2" t="s">
        <v>65</v>
      </c>
      <c r="AA42" s="2" t="s">
        <v>99</v>
      </c>
      <c r="AB42" s="2" t="s">
        <v>67</v>
      </c>
      <c r="AC42" s="2" t="s">
        <v>68</v>
      </c>
      <c r="AD42" s="2" t="s">
        <v>58</v>
      </c>
      <c r="AE42" s="2" t="s">
        <v>68</v>
      </c>
      <c r="AF42" s="2">
        <v>5</v>
      </c>
      <c r="AG42" s="2">
        <v>2</v>
      </c>
      <c r="AH42" s="2">
        <v>4</v>
      </c>
      <c r="AI42" s="2">
        <v>3</v>
      </c>
      <c r="AJ42" s="2">
        <v>5</v>
      </c>
      <c r="AK42" s="2">
        <v>3</v>
      </c>
      <c r="AL42" s="2">
        <v>5</v>
      </c>
      <c r="AM42" s="2">
        <v>2</v>
      </c>
      <c r="AN42" s="2">
        <v>3</v>
      </c>
      <c r="AO42" s="3">
        <v>5</v>
      </c>
    </row>
    <row r="43" spans="1:41" ht="15.75" customHeight="1" x14ac:dyDescent="0.25">
      <c r="A43" s="4">
        <v>45770.957397233797</v>
      </c>
      <c r="B43" s="5">
        <v>22</v>
      </c>
      <c r="C43" s="5">
        <v>6</v>
      </c>
      <c r="D43" s="5">
        <v>15</v>
      </c>
      <c r="E43" s="5">
        <v>2</v>
      </c>
      <c r="F43" s="5">
        <v>2</v>
      </c>
      <c r="G43" s="5">
        <v>6</v>
      </c>
      <c r="H43" s="5">
        <v>3</v>
      </c>
      <c r="I43" s="5">
        <v>3</v>
      </c>
      <c r="J43" s="5">
        <v>3</v>
      </c>
      <c r="K43" s="5">
        <v>6</v>
      </c>
      <c r="L43" s="5" t="s">
        <v>76</v>
      </c>
      <c r="M43" s="5" t="s">
        <v>83</v>
      </c>
      <c r="N43" s="5" t="s">
        <v>41</v>
      </c>
      <c r="O43" s="5" t="s">
        <v>42</v>
      </c>
      <c r="P43" s="5" t="s">
        <v>71</v>
      </c>
      <c r="Q43" s="5" t="s">
        <v>72</v>
      </c>
      <c r="R43" s="5" t="s">
        <v>73</v>
      </c>
      <c r="S43" s="5" t="s">
        <v>83</v>
      </c>
      <c r="T43" s="5" t="s">
        <v>61</v>
      </c>
      <c r="U43" s="5" t="s">
        <v>49</v>
      </c>
      <c r="V43" s="5" t="s">
        <v>78</v>
      </c>
      <c r="W43" s="5" t="s">
        <v>90</v>
      </c>
      <c r="X43" s="5" t="s">
        <v>75</v>
      </c>
      <c r="Y43" s="5" t="s">
        <v>53</v>
      </c>
      <c r="Z43" s="5" t="s">
        <v>65</v>
      </c>
      <c r="AA43" s="5" t="s">
        <v>99</v>
      </c>
      <c r="AB43" s="5" t="s">
        <v>56</v>
      </c>
      <c r="AC43" s="5" t="s">
        <v>100</v>
      </c>
      <c r="AD43" s="5" t="s">
        <v>58</v>
      </c>
      <c r="AE43" s="5" t="s">
        <v>59</v>
      </c>
      <c r="AF43" s="5">
        <v>3</v>
      </c>
      <c r="AG43" s="5">
        <v>2</v>
      </c>
      <c r="AH43" s="5">
        <v>4</v>
      </c>
      <c r="AI43" s="5">
        <v>2</v>
      </c>
      <c r="AJ43" s="5">
        <v>4</v>
      </c>
      <c r="AK43" s="5">
        <v>2</v>
      </c>
      <c r="AL43" s="5">
        <v>3</v>
      </c>
      <c r="AM43" s="5">
        <v>3</v>
      </c>
      <c r="AN43" s="5">
        <v>2</v>
      </c>
      <c r="AO43" s="6">
        <v>2</v>
      </c>
    </row>
    <row r="44" spans="1:41" ht="15.75" customHeight="1" x14ac:dyDescent="0.25">
      <c r="A44" s="1">
        <v>45770.95791268519</v>
      </c>
      <c r="B44" s="2">
        <v>19</v>
      </c>
      <c r="C44" s="2">
        <v>4</v>
      </c>
      <c r="D44" s="2">
        <v>10</v>
      </c>
      <c r="E44" s="2">
        <v>3</v>
      </c>
      <c r="F44" s="2">
        <v>3</v>
      </c>
      <c r="G44" s="2">
        <v>4</v>
      </c>
      <c r="H44" s="2">
        <v>0</v>
      </c>
      <c r="I44" s="2">
        <v>2</v>
      </c>
      <c r="J44" s="2">
        <v>0</v>
      </c>
      <c r="K44" s="2">
        <v>4</v>
      </c>
      <c r="L44" s="2" t="s">
        <v>76</v>
      </c>
      <c r="M44" s="2" t="s">
        <v>42</v>
      </c>
      <c r="N44" s="2" t="s">
        <v>70</v>
      </c>
      <c r="O44" s="2" t="s">
        <v>42</v>
      </c>
      <c r="P44" s="2" t="s">
        <v>44</v>
      </c>
      <c r="Q44" s="2" t="s">
        <v>72</v>
      </c>
      <c r="R44" s="2" t="s">
        <v>73</v>
      </c>
      <c r="S44" s="2" t="s">
        <v>88</v>
      </c>
      <c r="T44" s="2" t="s">
        <v>48</v>
      </c>
      <c r="U44" s="2" t="s">
        <v>49</v>
      </c>
      <c r="V44" s="2" t="s">
        <v>50</v>
      </c>
      <c r="W44" s="2" t="s">
        <v>90</v>
      </c>
      <c r="X44" s="2" t="s">
        <v>52</v>
      </c>
      <c r="Y44" s="2" t="s">
        <v>53</v>
      </c>
      <c r="Z44" s="2" t="s">
        <v>65</v>
      </c>
      <c r="AA44" s="2" t="s">
        <v>66</v>
      </c>
      <c r="AB44" s="2" t="s">
        <v>67</v>
      </c>
      <c r="AC44" s="2" t="s">
        <v>68</v>
      </c>
      <c r="AD44" s="2" t="s">
        <v>81</v>
      </c>
      <c r="AE44" s="2" t="s">
        <v>59</v>
      </c>
      <c r="AF44" s="2">
        <v>1</v>
      </c>
      <c r="AG44" s="2">
        <v>1</v>
      </c>
      <c r="AH44" s="2">
        <v>1</v>
      </c>
      <c r="AI44" s="2">
        <v>1</v>
      </c>
      <c r="AJ44" s="2">
        <v>3</v>
      </c>
      <c r="AK44" s="2">
        <v>3</v>
      </c>
      <c r="AL44" s="2">
        <v>3</v>
      </c>
      <c r="AM44" s="2">
        <v>1</v>
      </c>
      <c r="AN44" s="2">
        <v>1</v>
      </c>
      <c r="AO44" s="3">
        <v>4</v>
      </c>
    </row>
    <row r="45" spans="1:41" ht="15.75" customHeight="1" x14ac:dyDescent="0.25">
      <c r="A45" s="4">
        <v>45770.961807187501</v>
      </c>
      <c r="B45" s="5">
        <v>22</v>
      </c>
      <c r="C45" s="5">
        <v>4</v>
      </c>
      <c r="D45" s="5">
        <v>5</v>
      </c>
      <c r="E45" s="5">
        <v>2</v>
      </c>
      <c r="F45" s="5">
        <v>3</v>
      </c>
      <c r="G45" s="5">
        <v>4</v>
      </c>
      <c r="H45" s="5">
        <v>3</v>
      </c>
      <c r="I45" s="5">
        <v>0</v>
      </c>
      <c r="J45" s="5">
        <v>0</v>
      </c>
      <c r="K45" s="5">
        <v>2</v>
      </c>
      <c r="L45" s="5" t="s">
        <v>82</v>
      </c>
      <c r="M45" s="5" t="s">
        <v>61</v>
      </c>
      <c r="N45" s="5" t="s">
        <v>68</v>
      </c>
      <c r="O45" s="5" t="s">
        <v>61</v>
      </c>
      <c r="P45" s="5" t="s">
        <v>94</v>
      </c>
      <c r="Q45" s="5" t="s">
        <v>72</v>
      </c>
      <c r="R45" s="5" t="s">
        <v>85</v>
      </c>
      <c r="S45" s="5" t="s">
        <v>47</v>
      </c>
      <c r="T45" s="5" t="s">
        <v>61</v>
      </c>
      <c r="U45" s="5" t="s">
        <v>92</v>
      </c>
      <c r="V45" s="5" t="s">
        <v>78</v>
      </c>
      <c r="W45" s="5" t="s">
        <v>90</v>
      </c>
      <c r="X45" s="5" t="s">
        <v>75</v>
      </c>
      <c r="Y45" s="5" t="s">
        <v>53</v>
      </c>
      <c r="Z45" s="5" t="s">
        <v>54</v>
      </c>
      <c r="AA45" s="5" t="s">
        <v>55</v>
      </c>
      <c r="AB45" s="5" t="s">
        <v>102</v>
      </c>
      <c r="AC45" s="5" t="s">
        <v>100</v>
      </c>
      <c r="AD45" s="5" t="s">
        <v>69</v>
      </c>
      <c r="AE45" s="5" t="s">
        <v>68</v>
      </c>
      <c r="AF45" s="5">
        <v>1</v>
      </c>
      <c r="AG45" s="5">
        <v>3</v>
      </c>
      <c r="AH45" s="5">
        <v>1</v>
      </c>
      <c r="AI45" s="5">
        <v>2</v>
      </c>
      <c r="AJ45" s="5">
        <v>3</v>
      </c>
      <c r="AK45" s="5">
        <v>3</v>
      </c>
      <c r="AL45" s="5">
        <v>3</v>
      </c>
      <c r="AM45" s="5">
        <v>2</v>
      </c>
      <c r="AN45" s="5">
        <v>3</v>
      </c>
      <c r="AO45" s="6">
        <v>4</v>
      </c>
    </row>
    <row r="46" spans="1:41" ht="15.75" customHeight="1" x14ac:dyDescent="0.25">
      <c r="A46" s="1">
        <v>45770.964646562497</v>
      </c>
      <c r="B46" s="2">
        <v>22</v>
      </c>
      <c r="C46" s="2">
        <v>6</v>
      </c>
      <c r="D46" s="2">
        <v>15</v>
      </c>
      <c r="E46" s="2">
        <v>2</v>
      </c>
      <c r="F46" s="2">
        <v>3</v>
      </c>
      <c r="G46" s="2">
        <v>6</v>
      </c>
      <c r="H46" s="2">
        <v>0</v>
      </c>
      <c r="I46" s="2">
        <v>2</v>
      </c>
      <c r="J46" s="2">
        <v>0</v>
      </c>
      <c r="K46" s="2">
        <v>6</v>
      </c>
      <c r="L46" s="2" t="s">
        <v>76</v>
      </c>
      <c r="M46" s="2" t="s">
        <v>42</v>
      </c>
      <c r="N46" s="2" t="s">
        <v>43</v>
      </c>
      <c r="O46" s="2" t="s">
        <v>83</v>
      </c>
      <c r="P46" s="2" t="s">
        <v>44</v>
      </c>
      <c r="Q46" s="2" t="s">
        <v>72</v>
      </c>
      <c r="R46" s="2" t="s">
        <v>73</v>
      </c>
      <c r="S46" s="2" t="s">
        <v>83</v>
      </c>
      <c r="T46" s="2" t="s">
        <v>42</v>
      </c>
      <c r="U46" s="2" t="s">
        <v>63</v>
      </c>
      <c r="V46" s="2" t="s">
        <v>78</v>
      </c>
      <c r="W46" s="2" t="s">
        <v>79</v>
      </c>
      <c r="X46" s="2" t="s">
        <v>52</v>
      </c>
      <c r="Y46" s="2" t="s">
        <v>91</v>
      </c>
      <c r="Z46" s="2" t="s">
        <v>65</v>
      </c>
      <c r="AA46" s="2" t="s">
        <v>80</v>
      </c>
      <c r="AB46" s="2" t="s">
        <v>67</v>
      </c>
      <c r="AC46" s="2" t="s">
        <v>57</v>
      </c>
      <c r="AD46" s="2" t="s">
        <v>58</v>
      </c>
      <c r="AE46" s="2" t="s">
        <v>97</v>
      </c>
      <c r="AF46" s="2">
        <v>4</v>
      </c>
      <c r="AG46" s="2">
        <v>3</v>
      </c>
      <c r="AH46" s="2">
        <v>4</v>
      </c>
      <c r="AI46" s="2">
        <v>3</v>
      </c>
      <c r="AJ46" s="2">
        <v>2</v>
      </c>
      <c r="AK46" s="2">
        <v>3</v>
      </c>
      <c r="AL46" s="2">
        <v>2</v>
      </c>
      <c r="AM46" s="2">
        <v>3</v>
      </c>
      <c r="AN46" s="2">
        <v>3</v>
      </c>
      <c r="AO46" s="3">
        <v>4</v>
      </c>
    </row>
    <row r="47" spans="1:41" ht="15.75" customHeight="1" x14ac:dyDescent="0.25">
      <c r="A47" s="4">
        <v>45770.965870717591</v>
      </c>
      <c r="B47" s="5">
        <v>19</v>
      </c>
      <c r="C47" s="5">
        <v>8</v>
      </c>
      <c r="D47" s="5">
        <v>10</v>
      </c>
      <c r="E47" s="5">
        <v>1</v>
      </c>
      <c r="F47" s="5">
        <v>0</v>
      </c>
      <c r="G47" s="5">
        <v>2</v>
      </c>
      <c r="H47" s="5">
        <v>0</v>
      </c>
      <c r="I47" s="5">
        <v>3</v>
      </c>
      <c r="J47" s="5">
        <v>2</v>
      </c>
      <c r="K47" s="5">
        <v>6</v>
      </c>
      <c r="L47" s="5" t="s">
        <v>76</v>
      </c>
      <c r="M47" s="5" t="s">
        <v>83</v>
      </c>
      <c r="N47" s="5" t="s">
        <v>43</v>
      </c>
      <c r="O47" s="5" t="s">
        <v>61</v>
      </c>
      <c r="P47" s="5" t="s">
        <v>71</v>
      </c>
      <c r="Q47" s="5" t="s">
        <v>98</v>
      </c>
      <c r="R47" s="5" t="s">
        <v>46</v>
      </c>
      <c r="S47" s="5" t="s">
        <v>47</v>
      </c>
      <c r="T47" s="5" t="s">
        <v>48</v>
      </c>
      <c r="U47" s="5" t="s">
        <v>49</v>
      </c>
      <c r="V47" s="5" t="s">
        <v>50</v>
      </c>
      <c r="W47" s="5" t="s">
        <v>90</v>
      </c>
      <c r="X47" s="5" t="s">
        <v>75</v>
      </c>
      <c r="Y47" s="5" t="s">
        <v>91</v>
      </c>
      <c r="Z47" s="5" t="s">
        <v>86</v>
      </c>
      <c r="AA47" s="5" t="s">
        <v>55</v>
      </c>
      <c r="AB47" s="5" t="s">
        <v>102</v>
      </c>
      <c r="AC47" s="5" t="s">
        <v>57</v>
      </c>
      <c r="AD47" s="5" t="s">
        <v>58</v>
      </c>
      <c r="AE47" s="5" t="s">
        <v>59</v>
      </c>
      <c r="AF47" s="5">
        <v>4</v>
      </c>
      <c r="AG47" s="5">
        <v>4</v>
      </c>
      <c r="AH47" s="5">
        <v>3</v>
      </c>
      <c r="AI47" s="5">
        <v>4</v>
      </c>
      <c r="AJ47" s="5">
        <v>2</v>
      </c>
      <c r="AK47" s="5">
        <v>2</v>
      </c>
      <c r="AL47" s="5">
        <v>3</v>
      </c>
      <c r="AM47" s="5">
        <v>2</v>
      </c>
      <c r="AN47" s="5">
        <v>3</v>
      </c>
      <c r="AO47" s="6">
        <v>2</v>
      </c>
    </row>
    <row r="48" spans="1:41" ht="15.75" customHeight="1" x14ac:dyDescent="0.25">
      <c r="A48" s="1">
        <v>45770.966759803239</v>
      </c>
      <c r="B48" s="2">
        <v>22</v>
      </c>
      <c r="C48" s="2">
        <v>4</v>
      </c>
      <c r="D48" s="2">
        <v>20</v>
      </c>
      <c r="E48" s="2">
        <v>3</v>
      </c>
      <c r="F48" s="2">
        <v>3</v>
      </c>
      <c r="G48" s="2">
        <v>6</v>
      </c>
      <c r="H48" s="2">
        <v>0</v>
      </c>
      <c r="I48" s="2">
        <v>3</v>
      </c>
      <c r="J48" s="2">
        <v>0</v>
      </c>
      <c r="K48" s="2">
        <v>6</v>
      </c>
      <c r="L48" s="2" t="s">
        <v>60</v>
      </c>
      <c r="M48" s="2" t="s">
        <v>61</v>
      </c>
      <c r="N48" s="2" t="s">
        <v>70</v>
      </c>
      <c r="O48" s="2" t="s">
        <v>83</v>
      </c>
      <c r="P48" s="2" t="s">
        <v>94</v>
      </c>
      <c r="Q48" s="2" t="s">
        <v>84</v>
      </c>
      <c r="R48" s="2" t="s">
        <v>73</v>
      </c>
      <c r="S48" s="2" t="s">
        <v>77</v>
      </c>
      <c r="T48" s="2" t="s">
        <v>61</v>
      </c>
      <c r="U48" s="2" t="s">
        <v>63</v>
      </c>
      <c r="V48" s="2" t="s">
        <v>64</v>
      </c>
      <c r="W48" s="2" t="s">
        <v>90</v>
      </c>
      <c r="X48" s="2" t="s">
        <v>75</v>
      </c>
      <c r="Y48" s="2" t="s">
        <v>53</v>
      </c>
      <c r="Z48" s="2" t="s">
        <v>65</v>
      </c>
      <c r="AA48" s="2" t="s">
        <v>55</v>
      </c>
      <c r="AB48" s="2" t="s">
        <v>56</v>
      </c>
      <c r="AC48" s="2" t="s">
        <v>57</v>
      </c>
      <c r="AD48" s="2" t="s">
        <v>69</v>
      </c>
      <c r="AE48" s="2" t="s">
        <v>97</v>
      </c>
      <c r="AF48" s="2">
        <v>5</v>
      </c>
      <c r="AG48" s="2">
        <v>5</v>
      </c>
      <c r="AH48" s="2">
        <v>5</v>
      </c>
      <c r="AI48" s="2">
        <v>5</v>
      </c>
      <c r="AJ48" s="2">
        <v>5</v>
      </c>
      <c r="AK48" s="2">
        <v>1</v>
      </c>
      <c r="AL48" s="2">
        <v>5</v>
      </c>
      <c r="AM48" s="2">
        <v>1</v>
      </c>
      <c r="AN48" s="2">
        <v>5</v>
      </c>
      <c r="AO48" s="3">
        <v>5</v>
      </c>
    </row>
    <row r="49" spans="1:41" ht="15.75" customHeight="1" x14ac:dyDescent="0.25">
      <c r="A49" s="4">
        <v>45770.966928483795</v>
      </c>
      <c r="B49" s="5">
        <v>19</v>
      </c>
      <c r="C49" s="5">
        <v>6</v>
      </c>
      <c r="D49" s="5">
        <v>10</v>
      </c>
      <c r="E49" s="5">
        <v>2</v>
      </c>
      <c r="F49" s="5">
        <v>3</v>
      </c>
      <c r="G49" s="5">
        <v>2</v>
      </c>
      <c r="H49" s="5">
        <v>0</v>
      </c>
      <c r="I49" s="5">
        <v>3</v>
      </c>
      <c r="J49" s="5">
        <v>0</v>
      </c>
      <c r="K49" s="5">
        <v>2</v>
      </c>
      <c r="L49" s="5" t="s">
        <v>76</v>
      </c>
      <c r="M49" s="5" t="s">
        <v>83</v>
      </c>
      <c r="N49" s="5" t="s">
        <v>43</v>
      </c>
      <c r="O49" s="5" t="s">
        <v>77</v>
      </c>
      <c r="P49" s="5" t="s">
        <v>44</v>
      </c>
      <c r="Q49" s="5" t="s">
        <v>72</v>
      </c>
      <c r="R49" s="5" t="s">
        <v>101</v>
      </c>
      <c r="S49" s="5" t="s">
        <v>83</v>
      </c>
      <c r="T49" s="5" t="s">
        <v>77</v>
      </c>
      <c r="U49" s="5" t="s">
        <v>49</v>
      </c>
      <c r="V49" s="5" t="s">
        <v>74</v>
      </c>
      <c r="W49" s="5" t="s">
        <v>90</v>
      </c>
      <c r="X49" s="5" t="s">
        <v>52</v>
      </c>
      <c r="Y49" s="5" t="s">
        <v>53</v>
      </c>
      <c r="Z49" s="5" t="s">
        <v>65</v>
      </c>
      <c r="AA49" s="5" t="s">
        <v>80</v>
      </c>
      <c r="AB49" s="5" t="s">
        <v>56</v>
      </c>
      <c r="AC49" s="5" t="s">
        <v>95</v>
      </c>
      <c r="AD49" s="5" t="s">
        <v>81</v>
      </c>
      <c r="AE49" s="5" t="s">
        <v>59</v>
      </c>
      <c r="AF49" s="5">
        <v>3</v>
      </c>
      <c r="AG49" s="5">
        <v>1</v>
      </c>
      <c r="AH49" s="5">
        <v>2</v>
      </c>
      <c r="AI49" s="5">
        <v>2</v>
      </c>
      <c r="AJ49" s="5">
        <v>3</v>
      </c>
      <c r="AK49" s="5">
        <v>3</v>
      </c>
      <c r="AL49" s="5">
        <v>1</v>
      </c>
      <c r="AM49" s="5">
        <v>2</v>
      </c>
      <c r="AN49" s="5">
        <v>4</v>
      </c>
      <c r="AO49" s="6">
        <v>2</v>
      </c>
    </row>
    <row r="50" spans="1:41" ht="15.75" customHeight="1" x14ac:dyDescent="0.25">
      <c r="A50" s="1">
        <v>45770.967118148154</v>
      </c>
      <c r="B50" s="2">
        <v>20</v>
      </c>
      <c r="C50" s="2">
        <v>8</v>
      </c>
      <c r="D50" s="2">
        <v>20</v>
      </c>
      <c r="E50" s="2">
        <v>0</v>
      </c>
      <c r="F50" s="2">
        <v>3</v>
      </c>
      <c r="G50" s="2">
        <v>4</v>
      </c>
      <c r="H50" s="2">
        <v>0</v>
      </c>
      <c r="I50" s="2">
        <v>3</v>
      </c>
      <c r="J50" s="2">
        <v>0</v>
      </c>
      <c r="K50" s="2">
        <v>6</v>
      </c>
      <c r="L50" s="2" t="s">
        <v>82</v>
      </c>
      <c r="M50" s="2" t="s">
        <v>42</v>
      </c>
      <c r="N50" s="2" t="s">
        <v>68</v>
      </c>
      <c r="O50" s="2" t="s">
        <v>42</v>
      </c>
      <c r="P50" s="2" t="s">
        <v>44</v>
      </c>
      <c r="Q50" s="2" t="s">
        <v>84</v>
      </c>
      <c r="R50" s="2" t="s">
        <v>46</v>
      </c>
      <c r="S50" s="2" t="s">
        <v>88</v>
      </c>
      <c r="T50" s="2" t="s">
        <v>42</v>
      </c>
      <c r="U50" s="2" t="s">
        <v>92</v>
      </c>
      <c r="V50" s="2" t="s">
        <v>64</v>
      </c>
      <c r="W50" s="2" t="s">
        <v>90</v>
      </c>
      <c r="X50" s="2" t="s">
        <v>75</v>
      </c>
      <c r="Y50" s="2" t="s">
        <v>53</v>
      </c>
      <c r="Z50" s="2" t="s">
        <v>68</v>
      </c>
      <c r="AA50" s="2" t="s">
        <v>99</v>
      </c>
      <c r="AB50" s="2" t="s">
        <v>67</v>
      </c>
      <c r="AC50" s="2" t="s">
        <v>68</v>
      </c>
      <c r="AD50" s="2" t="s">
        <v>58</v>
      </c>
      <c r="AE50" s="2" t="s">
        <v>68</v>
      </c>
      <c r="AF50" s="2">
        <v>2</v>
      </c>
      <c r="AG50" s="2">
        <v>3</v>
      </c>
      <c r="AH50" s="2">
        <v>1</v>
      </c>
      <c r="AI50" s="2">
        <v>3</v>
      </c>
      <c r="AJ50" s="2">
        <v>3</v>
      </c>
      <c r="AK50" s="2">
        <v>1</v>
      </c>
      <c r="AL50" s="2">
        <v>1</v>
      </c>
      <c r="AM50" s="2">
        <v>1</v>
      </c>
      <c r="AN50" s="2">
        <v>1</v>
      </c>
      <c r="AO50" s="3">
        <v>1</v>
      </c>
    </row>
    <row r="51" spans="1:41" ht="15.75" customHeight="1" x14ac:dyDescent="0.25">
      <c r="A51" s="44">
        <v>45770.967810150461</v>
      </c>
      <c r="B51" s="45">
        <v>19</v>
      </c>
      <c r="C51" s="45">
        <v>10</v>
      </c>
      <c r="D51" s="45">
        <v>5</v>
      </c>
      <c r="E51" s="45">
        <v>3</v>
      </c>
      <c r="F51" s="45">
        <v>2</v>
      </c>
      <c r="G51" s="45">
        <v>4</v>
      </c>
      <c r="H51" s="45">
        <v>3</v>
      </c>
      <c r="I51" s="45">
        <v>3</v>
      </c>
      <c r="J51" s="45">
        <v>0</v>
      </c>
      <c r="K51" s="45">
        <v>6</v>
      </c>
      <c r="L51" s="45" t="s">
        <v>60</v>
      </c>
      <c r="M51" s="45" t="s">
        <v>42</v>
      </c>
      <c r="N51" s="45" t="s">
        <v>43</v>
      </c>
      <c r="O51" s="45" t="s">
        <v>61</v>
      </c>
      <c r="P51" s="45" t="s">
        <v>44</v>
      </c>
      <c r="Q51" s="45" t="s">
        <v>84</v>
      </c>
      <c r="R51" s="45" t="s">
        <v>73</v>
      </c>
      <c r="S51" s="45" t="s">
        <v>83</v>
      </c>
      <c r="T51" s="45" t="s">
        <v>61</v>
      </c>
      <c r="U51" s="45" t="s">
        <v>92</v>
      </c>
      <c r="V51" s="45" t="s">
        <v>50</v>
      </c>
      <c r="W51" s="45" t="s">
        <v>90</v>
      </c>
      <c r="X51" s="45" t="s">
        <v>75</v>
      </c>
      <c r="Y51" s="45" t="s">
        <v>53</v>
      </c>
      <c r="Z51" s="45" t="s">
        <v>65</v>
      </c>
      <c r="AA51" s="45" t="s">
        <v>66</v>
      </c>
      <c r="AB51" s="45" t="s">
        <v>56</v>
      </c>
      <c r="AC51" s="45" t="s">
        <v>95</v>
      </c>
      <c r="AD51" s="45" t="s">
        <v>96</v>
      </c>
      <c r="AE51" s="45" t="s">
        <v>59</v>
      </c>
      <c r="AF51" s="45">
        <v>1</v>
      </c>
      <c r="AG51" s="45">
        <v>1</v>
      </c>
      <c r="AH51" s="45">
        <v>1</v>
      </c>
      <c r="AI51" s="45">
        <v>1</v>
      </c>
      <c r="AJ51" s="45">
        <v>3</v>
      </c>
      <c r="AK51" s="45">
        <v>2</v>
      </c>
      <c r="AL51" s="45">
        <v>2</v>
      </c>
      <c r="AM51" s="45">
        <v>3</v>
      </c>
      <c r="AN51" s="45">
        <v>4</v>
      </c>
      <c r="AO51" s="46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8"/>
  <sheetViews>
    <sheetView topLeftCell="A152" zoomScale="96" zoomScaleNormal="96" workbookViewId="0">
      <selection activeCell="A162" sqref="A162"/>
    </sheetView>
  </sheetViews>
  <sheetFormatPr defaultRowHeight="13.2" x14ac:dyDescent="0.25"/>
  <cols>
    <col min="1" max="1" width="81.21875" bestFit="1" customWidth="1"/>
    <col min="2" max="2" width="76.109375" bestFit="1" customWidth="1"/>
    <col min="3" max="3" width="83.21875" bestFit="1" customWidth="1"/>
    <col min="4" max="4" width="90.44140625" bestFit="1" customWidth="1"/>
    <col min="5" max="5" width="75.6640625" bestFit="1" customWidth="1"/>
    <col min="6" max="6" width="105.77734375" bestFit="1" customWidth="1"/>
    <col min="7" max="7" width="106.88671875" bestFit="1" customWidth="1"/>
    <col min="8" max="8" width="103.6640625" bestFit="1" customWidth="1"/>
    <col min="9" max="9" width="112.88671875" bestFit="1" customWidth="1"/>
    <col min="10" max="10" width="88.33203125" bestFit="1" customWidth="1"/>
  </cols>
  <sheetData>
    <row r="1" spans="1:10" s="12" customFormat="1" x14ac:dyDescent="0.25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9</v>
      </c>
      <c r="J1" s="11" t="s">
        <v>10</v>
      </c>
    </row>
    <row r="2" spans="1:10" x14ac:dyDescent="0.25">
      <c r="A2" s="7">
        <v>22</v>
      </c>
      <c r="B2" s="7">
        <v>8</v>
      </c>
      <c r="C2" s="7">
        <v>5</v>
      </c>
      <c r="D2" s="7">
        <v>3</v>
      </c>
      <c r="E2" s="7">
        <v>3</v>
      </c>
      <c r="F2" s="7">
        <v>2</v>
      </c>
      <c r="G2" s="7">
        <v>2</v>
      </c>
      <c r="H2" s="7">
        <v>2</v>
      </c>
      <c r="I2" s="7">
        <v>0</v>
      </c>
      <c r="J2" s="7">
        <v>6</v>
      </c>
    </row>
    <row r="3" spans="1:10" x14ac:dyDescent="0.25">
      <c r="A3" s="8">
        <v>21</v>
      </c>
      <c r="B3" s="8">
        <v>8</v>
      </c>
      <c r="C3" s="8">
        <v>5</v>
      </c>
      <c r="D3" s="8">
        <v>3</v>
      </c>
      <c r="E3" s="8">
        <v>3</v>
      </c>
      <c r="F3" s="8">
        <v>6</v>
      </c>
      <c r="G3" s="8">
        <v>0</v>
      </c>
      <c r="H3" s="8">
        <v>3</v>
      </c>
      <c r="I3" s="8">
        <v>0</v>
      </c>
      <c r="J3" s="8">
        <v>0</v>
      </c>
    </row>
    <row r="4" spans="1:10" x14ac:dyDescent="0.25">
      <c r="A4" s="7">
        <v>19</v>
      </c>
      <c r="B4" s="7">
        <v>4</v>
      </c>
      <c r="C4" s="7">
        <v>5</v>
      </c>
      <c r="D4" s="7">
        <v>0</v>
      </c>
      <c r="E4" s="7">
        <v>3</v>
      </c>
      <c r="F4" s="7">
        <v>4</v>
      </c>
      <c r="G4" s="7">
        <v>0</v>
      </c>
      <c r="H4" s="7">
        <v>3</v>
      </c>
      <c r="I4" s="7">
        <v>0</v>
      </c>
      <c r="J4" s="7">
        <v>0</v>
      </c>
    </row>
    <row r="5" spans="1:10" x14ac:dyDescent="0.25">
      <c r="A5" s="8">
        <v>20</v>
      </c>
      <c r="B5" s="8">
        <v>6</v>
      </c>
      <c r="C5" s="8">
        <v>5</v>
      </c>
      <c r="D5" s="8">
        <v>3</v>
      </c>
      <c r="E5" s="8">
        <v>3</v>
      </c>
      <c r="F5" s="8">
        <v>2</v>
      </c>
      <c r="G5" s="8">
        <v>0</v>
      </c>
      <c r="H5" s="8">
        <v>3</v>
      </c>
      <c r="I5" s="8">
        <v>0</v>
      </c>
      <c r="J5" s="8">
        <v>6</v>
      </c>
    </row>
    <row r="6" spans="1:10" x14ac:dyDescent="0.25">
      <c r="A6" s="7">
        <v>22</v>
      </c>
      <c r="B6" s="7">
        <v>6</v>
      </c>
      <c r="C6" s="7">
        <v>10</v>
      </c>
      <c r="D6" s="7">
        <v>2</v>
      </c>
      <c r="E6" s="7">
        <v>2</v>
      </c>
      <c r="F6" s="7">
        <v>6</v>
      </c>
      <c r="G6" s="7">
        <v>1</v>
      </c>
      <c r="H6" s="7">
        <v>3</v>
      </c>
      <c r="I6" s="7">
        <v>0</v>
      </c>
      <c r="J6" s="7">
        <v>2</v>
      </c>
    </row>
    <row r="7" spans="1:10" x14ac:dyDescent="0.25">
      <c r="A7" s="8">
        <v>21</v>
      </c>
      <c r="B7" s="8">
        <v>6</v>
      </c>
      <c r="C7" s="8">
        <v>10</v>
      </c>
      <c r="D7" s="8">
        <v>3</v>
      </c>
      <c r="E7" s="8">
        <v>2</v>
      </c>
      <c r="F7" s="8">
        <v>4</v>
      </c>
      <c r="G7" s="8">
        <v>0</v>
      </c>
      <c r="H7" s="8">
        <v>0</v>
      </c>
      <c r="I7" s="8">
        <v>0</v>
      </c>
      <c r="J7" s="8">
        <v>2</v>
      </c>
    </row>
    <row r="8" spans="1:10" x14ac:dyDescent="0.25">
      <c r="A8" s="7">
        <v>21</v>
      </c>
      <c r="B8" s="7">
        <v>6</v>
      </c>
      <c r="C8" s="7">
        <v>15</v>
      </c>
      <c r="D8" s="7">
        <v>2</v>
      </c>
      <c r="E8" s="7">
        <v>3</v>
      </c>
      <c r="F8" s="7">
        <v>6</v>
      </c>
      <c r="G8" s="7">
        <v>0</v>
      </c>
      <c r="H8" s="7">
        <v>3</v>
      </c>
      <c r="I8" s="7">
        <v>3</v>
      </c>
      <c r="J8" s="7">
        <v>4</v>
      </c>
    </row>
    <row r="9" spans="1:10" x14ac:dyDescent="0.25">
      <c r="A9" s="8">
        <v>19</v>
      </c>
      <c r="B9" s="8">
        <v>4</v>
      </c>
      <c r="C9" s="8">
        <v>15</v>
      </c>
      <c r="D9" s="8">
        <v>2</v>
      </c>
      <c r="E9" s="8">
        <v>3</v>
      </c>
      <c r="F9" s="8">
        <v>6</v>
      </c>
      <c r="G9" s="8">
        <v>2</v>
      </c>
      <c r="H9" s="8">
        <v>2</v>
      </c>
      <c r="I9" s="8">
        <v>0</v>
      </c>
      <c r="J9" s="8">
        <v>4</v>
      </c>
    </row>
    <row r="10" spans="1:10" x14ac:dyDescent="0.25">
      <c r="A10" s="7">
        <v>19</v>
      </c>
      <c r="B10" s="7">
        <v>8</v>
      </c>
      <c r="C10" s="7">
        <v>20</v>
      </c>
      <c r="D10" s="7">
        <v>3</v>
      </c>
      <c r="E10" s="7">
        <v>3</v>
      </c>
      <c r="F10" s="7">
        <v>6</v>
      </c>
      <c r="G10" s="7">
        <v>3</v>
      </c>
      <c r="H10" s="7">
        <v>3</v>
      </c>
      <c r="I10" s="7">
        <v>2</v>
      </c>
      <c r="J10" s="7">
        <v>6</v>
      </c>
    </row>
    <row r="11" spans="1:10" x14ac:dyDescent="0.25">
      <c r="A11" s="8">
        <v>19</v>
      </c>
      <c r="B11" s="8">
        <v>6</v>
      </c>
      <c r="C11" s="8">
        <v>20</v>
      </c>
      <c r="D11" s="8">
        <v>1</v>
      </c>
      <c r="E11" s="8">
        <v>3</v>
      </c>
      <c r="F11" s="8">
        <v>4</v>
      </c>
      <c r="G11" s="8">
        <v>2</v>
      </c>
      <c r="H11" s="8">
        <v>1</v>
      </c>
      <c r="I11" s="8">
        <v>0</v>
      </c>
      <c r="J11" s="8">
        <v>4</v>
      </c>
    </row>
    <row r="12" spans="1:10" x14ac:dyDescent="0.25">
      <c r="A12" s="7">
        <v>19</v>
      </c>
      <c r="B12" s="7">
        <v>6</v>
      </c>
      <c r="C12" s="7">
        <v>10</v>
      </c>
      <c r="D12" s="7">
        <v>2</v>
      </c>
      <c r="E12" s="7">
        <v>3</v>
      </c>
      <c r="F12" s="7">
        <v>2</v>
      </c>
      <c r="G12" s="7">
        <v>0</v>
      </c>
      <c r="H12" s="7">
        <v>2</v>
      </c>
      <c r="I12" s="7">
        <v>0</v>
      </c>
      <c r="J12" s="7">
        <v>4</v>
      </c>
    </row>
    <row r="13" spans="1:10" x14ac:dyDescent="0.25">
      <c r="A13" s="8">
        <v>19</v>
      </c>
      <c r="B13" s="8">
        <v>6</v>
      </c>
      <c r="C13" s="8">
        <v>20</v>
      </c>
      <c r="D13" s="8">
        <v>2</v>
      </c>
      <c r="E13" s="8">
        <v>3</v>
      </c>
      <c r="F13" s="8">
        <v>2</v>
      </c>
      <c r="G13" s="8">
        <v>1</v>
      </c>
      <c r="H13" s="8">
        <v>2</v>
      </c>
      <c r="I13" s="8">
        <v>2</v>
      </c>
      <c r="J13" s="8">
        <v>2</v>
      </c>
    </row>
    <row r="14" spans="1:10" x14ac:dyDescent="0.25">
      <c r="A14" s="7">
        <v>22</v>
      </c>
      <c r="B14" s="7">
        <v>8</v>
      </c>
      <c r="C14" s="7">
        <v>5</v>
      </c>
      <c r="D14" s="7">
        <v>3</v>
      </c>
      <c r="E14" s="7">
        <v>3</v>
      </c>
      <c r="F14" s="7">
        <v>6</v>
      </c>
      <c r="G14" s="7">
        <v>3</v>
      </c>
      <c r="H14" s="7">
        <v>2</v>
      </c>
      <c r="I14" s="7">
        <v>0</v>
      </c>
      <c r="J14" s="7">
        <v>6</v>
      </c>
    </row>
    <row r="15" spans="1:10" x14ac:dyDescent="0.25">
      <c r="A15" s="8">
        <v>22</v>
      </c>
      <c r="B15" s="8">
        <v>8</v>
      </c>
      <c r="C15" s="8">
        <v>20</v>
      </c>
      <c r="D15" s="8">
        <v>2</v>
      </c>
      <c r="E15" s="8">
        <v>2</v>
      </c>
      <c r="F15" s="8">
        <v>4</v>
      </c>
      <c r="G15" s="8">
        <v>0</v>
      </c>
      <c r="H15" s="8">
        <v>2</v>
      </c>
      <c r="I15" s="8">
        <v>0</v>
      </c>
      <c r="J15" s="8">
        <v>0</v>
      </c>
    </row>
    <row r="16" spans="1:10" x14ac:dyDescent="0.25">
      <c r="A16" s="7">
        <v>19</v>
      </c>
      <c r="B16" s="7">
        <v>10</v>
      </c>
      <c r="C16" s="7">
        <v>10</v>
      </c>
      <c r="D16" s="7">
        <v>3</v>
      </c>
      <c r="E16" s="7">
        <v>1</v>
      </c>
      <c r="F16" s="7">
        <v>2</v>
      </c>
      <c r="G16" s="7">
        <v>2</v>
      </c>
      <c r="H16" s="7">
        <v>0</v>
      </c>
      <c r="I16" s="7">
        <v>2</v>
      </c>
      <c r="J16" s="7">
        <v>4</v>
      </c>
    </row>
    <row r="17" spans="1:10" x14ac:dyDescent="0.25">
      <c r="A17" s="8">
        <v>19</v>
      </c>
      <c r="B17" s="8">
        <v>4</v>
      </c>
      <c r="C17" s="8">
        <v>20</v>
      </c>
      <c r="D17" s="8">
        <v>3</v>
      </c>
      <c r="E17" s="8">
        <v>3</v>
      </c>
      <c r="F17" s="8">
        <v>6</v>
      </c>
      <c r="G17" s="8">
        <v>0</v>
      </c>
      <c r="H17" s="8">
        <v>3</v>
      </c>
      <c r="I17" s="8">
        <v>0</v>
      </c>
      <c r="J17" s="8">
        <v>2</v>
      </c>
    </row>
    <row r="18" spans="1:10" x14ac:dyDescent="0.25">
      <c r="A18" s="7">
        <v>19</v>
      </c>
      <c r="B18" s="7">
        <v>8</v>
      </c>
      <c r="C18" s="7">
        <v>20</v>
      </c>
      <c r="D18" s="7">
        <v>0</v>
      </c>
      <c r="E18" s="7">
        <v>3</v>
      </c>
      <c r="F18" s="7">
        <v>2</v>
      </c>
      <c r="G18" s="7">
        <v>3</v>
      </c>
      <c r="H18" s="7">
        <v>3</v>
      </c>
      <c r="I18" s="7">
        <v>2</v>
      </c>
      <c r="J18" s="7">
        <v>4</v>
      </c>
    </row>
    <row r="19" spans="1:10" x14ac:dyDescent="0.25">
      <c r="A19" s="8">
        <v>21</v>
      </c>
      <c r="B19" s="8">
        <v>4</v>
      </c>
      <c r="C19" s="8">
        <v>20</v>
      </c>
      <c r="D19" s="8">
        <v>0</v>
      </c>
      <c r="E19" s="8">
        <v>3</v>
      </c>
      <c r="F19" s="8">
        <v>2</v>
      </c>
      <c r="G19" s="8">
        <v>1</v>
      </c>
      <c r="H19" s="8">
        <v>2</v>
      </c>
      <c r="I19" s="8">
        <v>2</v>
      </c>
      <c r="J19" s="8">
        <v>4</v>
      </c>
    </row>
    <row r="20" spans="1:10" x14ac:dyDescent="0.25">
      <c r="A20" s="7">
        <v>22</v>
      </c>
      <c r="B20" s="7">
        <v>8</v>
      </c>
      <c r="C20" s="7">
        <v>10</v>
      </c>
      <c r="D20" s="7">
        <v>3</v>
      </c>
      <c r="E20" s="7">
        <v>1</v>
      </c>
      <c r="F20" s="7">
        <v>2</v>
      </c>
      <c r="G20" s="7">
        <v>1</v>
      </c>
      <c r="H20" s="7">
        <v>3</v>
      </c>
      <c r="I20" s="7">
        <v>1</v>
      </c>
      <c r="J20" s="7">
        <v>6</v>
      </c>
    </row>
    <row r="21" spans="1:10" x14ac:dyDescent="0.25">
      <c r="A21" s="8">
        <v>19</v>
      </c>
      <c r="B21" s="8">
        <v>8</v>
      </c>
      <c r="C21" s="8">
        <v>5</v>
      </c>
      <c r="D21" s="8">
        <v>3</v>
      </c>
      <c r="E21" s="8">
        <v>0</v>
      </c>
      <c r="F21" s="8">
        <v>6</v>
      </c>
      <c r="G21" s="8">
        <v>0</v>
      </c>
      <c r="H21" s="8">
        <v>0</v>
      </c>
      <c r="I21" s="8">
        <v>1</v>
      </c>
      <c r="J21" s="8">
        <v>2</v>
      </c>
    </row>
    <row r="22" spans="1:10" x14ac:dyDescent="0.25">
      <c r="A22" s="7">
        <v>19</v>
      </c>
      <c r="B22" s="7">
        <v>8</v>
      </c>
      <c r="C22" s="7">
        <v>15</v>
      </c>
      <c r="D22" s="7">
        <v>1</v>
      </c>
      <c r="E22" s="7">
        <v>3</v>
      </c>
      <c r="F22" s="7">
        <v>0</v>
      </c>
      <c r="G22" s="7">
        <v>0</v>
      </c>
      <c r="H22" s="7">
        <v>0</v>
      </c>
      <c r="I22" s="7">
        <v>3</v>
      </c>
      <c r="J22" s="7">
        <v>4</v>
      </c>
    </row>
    <row r="23" spans="1:10" x14ac:dyDescent="0.25">
      <c r="A23" s="8">
        <v>19</v>
      </c>
      <c r="B23" s="8">
        <v>6</v>
      </c>
      <c r="C23" s="8">
        <v>15</v>
      </c>
      <c r="D23" s="8">
        <v>3</v>
      </c>
      <c r="E23" s="8">
        <v>3</v>
      </c>
      <c r="F23" s="8">
        <v>6</v>
      </c>
      <c r="G23" s="8">
        <v>2</v>
      </c>
      <c r="H23" s="8">
        <v>2</v>
      </c>
      <c r="I23" s="8">
        <v>3</v>
      </c>
      <c r="J23" s="8">
        <v>6</v>
      </c>
    </row>
    <row r="24" spans="1:10" x14ac:dyDescent="0.25">
      <c r="A24" s="7">
        <v>19</v>
      </c>
      <c r="B24" s="7">
        <v>4</v>
      </c>
      <c r="C24" s="7">
        <v>15</v>
      </c>
      <c r="D24" s="7">
        <v>1</v>
      </c>
      <c r="E24" s="7">
        <v>3</v>
      </c>
      <c r="F24" s="7">
        <v>2</v>
      </c>
      <c r="G24" s="7">
        <v>1</v>
      </c>
      <c r="H24" s="7">
        <v>3</v>
      </c>
      <c r="I24" s="7">
        <v>3</v>
      </c>
      <c r="J24" s="7">
        <v>4</v>
      </c>
    </row>
    <row r="25" spans="1:10" x14ac:dyDescent="0.25">
      <c r="A25" s="8">
        <v>22</v>
      </c>
      <c r="B25" s="8">
        <v>6</v>
      </c>
      <c r="C25" s="8">
        <v>20</v>
      </c>
      <c r="D25" s="8">
        <v>3</v>
      </c>
      <c r="E25" s="8">
        <v>3</v>
      </c>
      <c r="F25" s="8">
        <v>4</v>
      </c>
      <c r="G25" s="8">
        <v>1</v>
      </c>
      <c r="H25" s="8">
        <v>2</v>
      </c>
      <c r="I25" s="8">
        <v>3</v>
      </c>
      <c r="J25" s="8">
        <v>4</v>
      </c>
    </row>
    <row r="26" spans="1:10" x14ac:dyDescent="0.25">
      <c r="A26" s="7">
        <v>19</v>
      </c>
      <c r="B26" s="7">
        <v>6</v>
      </c>
      <c r="C26" s="7">
        <v>5</v>
      </c>
      <c r="D26" s="7">
        <v>3</v>
      </c>
      <c r="E26" s="7">
        <v>3</v>
      </c>
      <c r="F26" s="7">
        <v>2</v>
      </c>
      <c r="G26" s="7">
        <v>3</v>
      </c>
      <c r="H26" s="7">
        <v>3</v>
      </c>
      <c r="I26" s="7">
        <v>0</v>
      </c>
      <c r="J26" s="7">
        <v>4</v>
      </c>
    </row>
    <row r="27" spans="1:10" x14ac:dyDescent="0.25">
      <c r="A27" s="8">
        <v>20</v>
      </c>
      <c r="B27" s="8">
        <v>8</v>
      </c>
      <c r="C27" s="8">
        <v>5</v>
      </c>
      <c r="D27" s="8">
        <v>1</v>
      </c>
      <c r="E27" s="8">
        <v>3</v>
      </c>
      <c r="F27" s="8">
        <v>2</v>
      </c>
      <c r="G27" s="8">
        <v>2</v>
      </c>
      <c r="H27" s="8">
        <v>3</v>
      </c>
      <c r="I27" s="8">
        <v>0</v>
      </c>
      <c r="J27" s="8">
        <v>6</v>
      </c>
    </row>
    <row r="28" spans="1:10" x14ac:dyDescent="0.25">
      <c r="A28" s="7">
        <v>22</v>
      </c>
      <c r="B28" s="7">
        <v>6</v>
      </c>
      <c r="C28" s="7">
        <v>10</v>
      </c>
      <c r="D28" s="7">
        <v>1</v>
      </c>
      <c r="E28" s="7">
        <v>3</v>
      </c>
      <c r="F28" s="7">
        <v>6</v>
      </c>
      <c r="G28" s="7">
        <v>3</v>
      </c>
      <c r="H28" s="7">
        <v>3</v>
      </c>
      <c r="I28" s="7">
        <v>0</v>
      </c>
      <c r="J28" s="7">
        <v>6</v>
      </c>
    </row>
    <row r="29" spans="1:10" x14ac:dyDescent="0.25">
      <c r="A29" s="8">
        <v>19</v>
      </c>
      <c r="B29" s="8">
        <v>6</v>
      </c>
      <c r="C29" s="8">
        <v>20</v>
      </c>
      <c r="D29" s="8">
        <v>0</v>
      </c>
      <c r="E29" s="8">
        <v>3</v>
      </c>
      <c r="F29" s="8">
        <v>6</v>
      </c>
      <c r="G29" s="8">
        <v>3</v>
      </c>
      <c r="H29" s="8">
        <v>0</v>
      </c>
      <c r="I29" s="8">
        <v>0</v>
      </c>
      <c r="J29" s="8">
        <v>0</v>
      </c>
    </row>
    <row r="30" spans="1:10" x14ac:dyDescent="0.25">
      <c r="A30" s="7">
        <v>20</v>
      </c>
      <c r="B30" s="7">
        <v>8</v>
      </c>
      <c r="C30" s="7">
        <v>5</v>
      </c>
      <c r="D30" s="7">
        <v>0</v>
      </c>
      <c r="E30" s="7">
        <v>2</v>
      </c>
      <c r="F30" s="7">
        <v>2</v>
      </c>
      <c r="G30" s="7">
        <v>0</v>
      </c>
      <c r="H30" s="7">
        <v>0</v>
      </c>
      <c r="I30" s="7">
        <v>0</v>
      </c>
      <c r="J30" s="7">
        <v>6</v>
      </c>
    </row>
    <row r="31" spans="1:10" x14ac:dyDescent="0.25">
      <c r="A31" s="8">
        <v>19</v>
      </c>
      <c r="B31" s="8">
        <v>6</v>
      </c>
      <c r="C31" s="8">
        <v>10</v>
      </c>
      <c r="D31" s="8">
        <v>2</v>
      </c>
      <c r="E31" s="8">
        <v>2</v>
      </c>
      <c r="F31" s="8">
        <v>2</v>
      </c>
      <c r="G31" s="8">
        <v>1</v>
      </c>
      <c r="H31" s="8">
        <v>2</v>
      </c>
      <c r="I31" s="8">
        <v>0</v>
      </c>
      <c r="J31" s="8">
        <v>4</v>
      </c>
    </row>
    <row r="32" spans="1:10" x14ac:dyDescent="0.25">
      <c r="A32" s="7">
        <v>19</v>
      </c>
      <c r="B32" s="7">
        <v>6</v>
      </c>
      <c r="C32" s="7">
        <v>20</v>
      </c>
      <c r="D32" s="7">
        <v>3</v>
      </c>
      <c r="E32" s="7">
        <v>3</v>
      </c>
      <c r="F32" s="7">
        <v>4</v>
      </c>
      <c r="G32" s="7">
        <v>2</v>
      </c>
      <c r="H32" s="7">
        <v>1</v>
      </c>
      <c r="I32" s="7">
        <v>0</v>
      </c>
      <c r="J32" s="7">
        <v>6</v>
      </c>
    </row>
    <row r="33" spans="1:10" x14ac:dyDescent="0.25">
      <c r="A33" s="8">
        <v>19</v>
      </c>
      <c r="B33" s="8">
        <v>10</v>
      </c>
      <c r="C33" s="8">
        <v>15</v>
      </c>
      <c r="D33" s="8">
        <v>3</v>
      </c>
      <c r="E33" s="8">
        <v>2</v>
      </c>
      <c r="F33" s="8">
        <v>2</v>
      </c>
      <c r="G33" s="8">
        <v>0</v>
      </c>
      <c r="H33" s="8">
        <v>0</v>
      </c>
      <c r="I33" s="8">
        <v>0</v>
      </c>
      <c r="J33" s="8">
        <v>6</v>
      </c>
    </row>
    <row r="34" spans="1:10" x14ac:dyDescent="0.25">
      <c r="A34" s="7">
        <v>21</v>
      </c>
      <c r="B34" s="7">
        <v>6</v>
      </c>
      <c r="C34" s="7">
        <v>20</v>
      </c>
      <c r="D34" s="7">
        <v>3</v>
      </c>
      <c r="E34" s="7">
        <v>3</v>
      </c>
      <c r="F34" s="7">
        <v>6</v>
      </c>
      <c r="G34" s="7">
        <v>3</v>
      </c>
      <c r="H34" s="7">
        <v>0</v>
      </c>
      <c r="I34" s="7">
        <v>0</v>
      </c>
      <c r="J34" s="7">
        <v>2</v>
      </c>
    </row>
    <row r="35" spans="1:10" x14ac:dyDescent="0.25">
      <c r="A35" s="8">
        <v>19</v>
      </c>
      <c r="B35" s="8">
        <v>10</v>
      </c>
      <c r="C35" s="8">
        <v>10</v>
      </c>
      <c r="D35" s="8">
        <v>0</v>
      </c>
      <c r="E35" s="8">
        <v>3</v>
      </c>
      <c r="F35" s="8">
        <v>6</v>
      </c>
      <c r="G35" s="8">
        <v>2</v>
      </c>
      <c r="H35" s="8">
        <v>2</v>
      </c>
      <c r="I35" s="8">
        <v>0</v>
      </c>
      <c r="J35" s="8">
        <v>6</v>
      </c>
    </row>
    <row r="36" spans="1:10" x14ac:dyDescent="0.25">
      <c r="A36" s="7">
        <v>19</v>
      </c>
      <c r="B36" s="7">
        <v>8</v>
      </c>
      <c r="C36" s="7">
        <v>5</v>
      </c>
      <c r="D36" s="7">
        <v>3</v>
      </c>
      <c r="E36" s="7">
        <v>3</v>
      </c>
      <c r="F36" s="7">
        <v>6</v>
      </c>
      <c r="G36" s="7">
        <v>0</v>
      </c>
      <c r="H36" s="7">
        <v>2</v>
      </c>
      <c r="I36" s="7">
        <v>0</v>
      </c>
      <c r="J36" s="7">
        <v>6</v>
      </c>
    </row>
    <row r="37" spans="1:10" x14ac:dyDescent="0.25">
      <c r="A37" s="8">
        <v>22</v>
      </c>
      <c r="B37" s="8">
        <v>6</v>
      </c>
      <c r="C37" s="8">
        <v>5</v>
      </c>
      <c r="D37" s="8">
        <v>0</v>
      </c>
      <c r="E37" s="8">
        <v>0</v>
      </c>
      <c r="F37" s="8">
        <v>6</v>
      </c>
      <c r="G37" s="8">
        <v>0</v>
      </c>
      <c r="H37" s="8">
        <v>0</v>
      </c>
      <c r="I37" s="8">
        <v>0</v>
      </c>
      <c r="J37" s="8">
        <v>4</v>
      </c>
    </row>
    <row r="38" spans="1:10" x14ac:dyDescent="0.25">
      <c r="A38" s="7">
        <v>21</v>
      </c>
      <c r="B38" s="7">
        <v>4</v>
      </c>
      <c r="C38" s="7">
        <v>20</v>
      </c>
      <c r="D38" s="7">
        <v>3</v>
      </c>
      <c r="E38" s="7">
        <v>3</v>
      </c>
      <c r="F38" s="7">
        <v>4</v>
      </c>
      <c r="G38" s="7">
        <v>3</v>
      </c>
      <c r="H38" s="7">
        <v>3</v>
      </c>
      <c r="I38" s="7">
        <v>3</v>
      </c>
      <c r="J38" s="7">
        <v>6</v>
      </c>
    </row>
    <row r="39" spans="1:10" x14ac:dyDescent="0.25">
      <c r="A39" s="8">
        <v>21</v>
      </c>
      <c r="B39" s="8">
        <v>6</v>
      </c>
      <c r="C39" s="8">
        <v>10</v>
      </c>
      <c r="D39" s="8">
        <v>1</v>
      </c>
      <c r="E39" s="8">
        <v>3</v>
      </c>
      <c r="F39" s="8">
        <v>6</v>
      </c>
      <c r="G39" s="8">
        <v>0</v>
      </c>
      <c r="H39" s="8">
        <v>3</v>
      </c>
      <c r="I39" s="8">
        <v>0</v>
      </c>
      <c r="J39" s="8">
        <v>0</v>
      </c>
    </row>
    <row r="40" spans="1:10" x14ac:dyDescent="0.25">
      <c r="A40" s="7">
        <v>22</v>
      </c>
      <c r="B40" s="7">
        <v>8</v>
      </c>
      <c r="C40" s="7">
        <v>20</v>
      </c>
      <c r="D40" s="7">
        <v>2</v>
      </c>
      <c r="E40" s="7">
        <v>3</v>
      </c>
      <c r="F40" s="7">
        <v>6</v>
      </c>
      <c r="G40" s="7">
        <v>1</v>
      </c>
      <c r="H40" s="7">
        <v>2</v>
      </c>
      <c r="I40" s="7">
        <v>3</v>
      </c>
      <c r="J40" s="7">
        <v>6</v>
      </c>
    </row>
    <row r="41" spans="1:10" x14ac:dyDescent="0.25">
      <c r="A41" s="8">
        <v>21</v>
      </c>
      <c r="B41" s="8">
        <v>4</v>
      </c>
      <c r="C41" s="8">
        <v>20</v>
      </c>
      <c r="D41" s="8">
        <v>0</v>
      </c>
      <c r="E41" s="8">
        <v>3</v>
      </c>
      <c r="F41" s="8">
        <v>6</v>
      </c>
      <c r="G41" s="8">
        <v>3</v>
      </c>
      <c r="H41" s="8">
        <v>3</v>
      </c>
      <c r="I41" s="8">
        <v>1</v>
      </c>
      <c r="J41" s="8">
        <v>6</v>
      </c>
    </row>
    <row r="42" spans="1:10" x14ac:dyDescent="0.25">
      <c r="A42" s="7">
        <v>19</v>
      </c>
      <c r="B42" s="7">
        <v>8</v>
      </c>
      <c r="C42" s="7">
        <v>5</v>
      </c>
      <c r="D42" s="7">
        <v>1</v>
      </c>
      <c r="E42" s="7">
        <v>3</v>
      </c>
      <c r="F42" s="7">
        <v>6</v>
      </c>
      <c r="G42" s="7">
        <v>0</v>
      </c>
      <c r="H42" s="7">
        <v>3</v>
      </c>
      <c r="I42" s="7">
        <v>0</v>
      </c>
      <c r="J42" s="7">
        <v>6</v>
      </c>
    </row>
    <row r="43" spans="1:10" x14ac:dyDescent="0.25">
      <c r="A43" s="8">
        <v>22</v>
      </c>
      <c r="B43" s="8">
        <v>6</v>
      </c>
      <c r="C43" s="8">
        <v>15</v>
      </c>
      <c r="D43" s="8">
        <v>2</v>
      </c>
      <c r="E43" s="8">
        <v>2</v>
      </c>
      <c r="F43" s="8">
        <v>6</v>
      </c>
      <c r="G43" s="8">
        <v>3</v>
      </c>
      <c r="H43" s="8">
        <v>3</v>
      </c>
      <c r="I43" s="8">
        <v>3</v>
      </c>
      <c r="J43" s="8">
        <v>6</v>
      </c>
    </row>
    <row r="44" spans="1:10" x14ac:dyDescent="0.25">
      <c r="A44" s="7">
        <v>19</v>
      </c>
      <c r="B44" s="7">
        <v>4</v>
      </c>
      <c r="C44" s="7">
        <v>10</v>
      </c>
      <c r="D44" s="7">
        <v>3</v>
      </c>
      <c r="E44" s="7">
        <v>3</v>
      </c>
      <c r="F44" s="7">
        <v>4</v>
      </c>
      <c r="G44" s="7">
        <v>0</v>
      </c>
      <c r="H44" s="7">
        <v>2</v>
      </c>
      <c r="I44" s="7">
        <v>0</v>
      </c>
      <c r="J44" s="7">
        <v>4</v>
      </c>
    </row>
    <row r="45" spans="1:10" x14ac:dyDescent="0.25">
      <c r="A45" s="8">
        <v>22</v>
      </c>
      <c r="B45" s="8">
        <v>4</v>
      </c>
      <c r="C45" s="8">
        <v>5</v>
      </c>
      <c r="D45" s="8">
        <v>2</v>
      </c>
      <c r="E45" s="8">
        <v>3</v>
      </c>
      <c r="F45" s="8">
        <v>4</v>
      </c>
      <c r="G45" s="8">
        <v>3</v>
      </c>
      <c r="H45" s="8">
        <v>0</v>
      </c>
      <c r="I45" s="8">
        <v>0</v>
      </c>
      <c r="J45" s="8">
        <v>2</v>
      </c>
    </row>
    <row r="46" spans="1:10" x14ac:dyDescent="0.25">
      <c r="A46" s="7">
        <v>22</v>
      </c>
      <c r="B46" s="7">
        <v>6</v>
      </c>
      <c r="C46" s="7">
        <v>15</v>
      </c>
      <c r="D46" s="7">
        <v>2</v>
      </c>
      <c r="E46" s="7">
        <v>3</v>
      </c>
      <c r="F46" s="7">
        <v>6</v>
      </c>
      <c r="G46" s="7">
        <v>0</v>
      </c>
      <c r="H46" s="7">
        <v>2</v>
      </c>
      <c r="I46" s="7">
        <v>0</v>
      </c>
      <c r="J46" s="7">
        <v>6</v>
      </c>
    </row>
    <row r="47" spans="1:10" x14ac:dyDescent="0.25">
      <c r="A47" s="8">
        <v>19</v>
      </c>
      <c r="B47" s="8">
        <v>8</v>
      </c>
      <c r="C47" s="8">
        <v>10</v>
      </c>
      <c r="D47" s="8">
        <v>1</v>
      </c>
      <c r="E47" s="8">
        <v>0</v>
      </c>
      <c r="F47" s="8">
        <v>2</v>
      </c>
      <c r="G47" s="8">
        <v>0</v>
      </c>
      <c r="H47" s="8">
        <v>3</v>
      </c>
      <c r="I47" s="8">
        <v>2</v>
      </c>
      <c r="J47" s="8">
        <v>6</v>
      </c>
    </row>
    <row r="48" spans="1:10" x14ac:dyDescent="0.25">
      <c r="A48" s="7">
        <v>22</v>
      </c>
      <c r="B48" s="7">
        <v>4</v>
      </c>
      <c r="C48" s="7">
        <v>20</v>
      </c>
      <c r="D48" s="7">
        <v>3</v>
      </c>
      <c r="E48" s="7">
        <v>3</v>
      </c>
      <c r="F48" s="7">
        <v>6</v>
      </c>
      <c r="G48" s="7">
        <v>0</v>
      </c>
      <c r="H48" s="7">
        <v>3</v>
      </c>
      <c r="I48" s="7">
        <v>0</v>
      </c>
      <c r="J48" s="7">
        <v>6</v>
      </c>
    </row>
    <row r="49" spans="1:10" x14ac:dyDescent="0.25">
      <c r="A49" s="8">
        <v>19</v>
      </c>
      <c r="B49" s="8">
        <v>6</v>
      </c>
      <c r="C49" s="8">
        <v>10</v>
      </c>
      <c r="D49" s="8">
        <v>2</v>
      </c>
      <c r="E49" s="8">
        <v>3</v>
      </c>
      <c r="F49" s="8">
        <v>2</v>
      </c>
      <c r="G49" s="8">
        <v>0</v>
      </c>
      <c r="H49" s="8">
        <v>3</v>
      </c>
      <c r="I49" s="8">
        <v>0</v>
      </c>
      <c r="J49" s="8">
        <v>2</v>
      </c>
    </row>
    <row r="50" spans="1:10" x14ac:dyDescent="0.25">
      <c r="A50" s="7">
        <v>20</v>
      </c>
      <c r="B50" s="7">
        <v>8</v>
      </c>
      <c r="C50" s="7">
        <v>20</v>
      </c>
      <c r="D50" s="7">
        <v>0</v>
      </c>
      <c r="E50" s="7">
        <v>3</v>
      </c>
      <c r="F50" s="7">
        <v>4</v>
      </c>
      <c r="G50" s="7">
        <v>0</v>
      </c>
      <c r="H50" s="7">
        <v>3</v>
      </c>
      <c r="I50" s="7">
        <v>0</v>
      </c>
      <c r="J50" s="7">
        <v>6</v>
      </c>
    </row>
    <row r="51" spans="1:10" x14ac:dyDescent="0.25">
      <c r="A51" s="32">
        <v>19</v>
      </c>
      <c r="B51" s="32">
        <v>10</v>
      </c>
      <c r="C51" s="32">
        <v>5</v>
      </c>
      <c r="D51" s="32">
        <v>3</v>
      </c>
      <c r="E51" s="32">
        <v>2</v>
      </c>
      <c r="F51" s="32">
        <v>4</v>
      </c>
      <c r="G51" s="32">
        <v>3</v>
      </c>
      <c r="H51" s="32">
        <v>3</v>
      </c>
      <c r="I51" s="32">
        <v>0</v>
      </c>
      <c r="J51" s="32">
        <v>6</v>
      </c>
    </row>
    <row r="52" spans="1:10" ht="13.8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ht="13.8" x14ac:dyDescent="0.25">
      <c r="A53" s="23"/>
      <c r="B53" s="23"/>
      <c r="C53" s="23"/>
      <c r="D53" s="23"/>
      <c r="E53" s="23"/>
      <c r="F53" s="23"/>
      <c r="G53" s="23"/>
      <c r="H53" s="23"/>
      <c r="I53" s="23"/>
      <c r="J53" s="23"/>
    </row>
    <row r="54" spans="1:10" ht="24.6" x14ac:dyDescent="0.25">
      <c r="A54" s="24" t="s">
        <v>201</v>
      </c>
      <c r="B54" s="23"/>
      <c r="C54" s="23"/>
      <c r="D54" s="23"/>
      <c r="E54" s="23"/>
      <c r="F54" s="23"/>
      <c r="G54" s="23"/>
      <c r="H54" s="23"/>
      <c r="I54" s="23"/>
      <c r="J54" s="23"/>
    </row>
    <row r="56" spans="1:10" ht="13.8" x14ac:dyDescent="0.25">
      <c r="A56" s="9" t="s">
        <v>103</v>
      </c>
      <c r="B56" s="9" t="s">
        <v>104</v>
      </c>
      <c r="C56" s="9" t="s">
        <v>105</v>
      </c>
      <c r="D56" s="9" t="s">
        <v>106</v>
      </c>
      <c r="E56" s="9" t="s">
        <v>107</v>
      </c>
      <c r="F56" s="9" t="s">
        <v>108</v>
      </c>
      <c r="G56" s="9" t="s">
        <v>109</v>
      </c>
      <c r="H56" s="9" t="s">
        <v>110</v>
      </c>
      <c r="I56" s="9" t="s">
        <v>111</v>
      </c>
      <c r="J56" s="9" t="s">
        <v>112</v>
      </c>
    </row>
    <row r="57" spans="1:10" x14ac:dyDescent="0.25">
      <c r="A57">
        <f>AVERAGE(A2:A51)</f>
        <v>20.18</v>
      </c>
      <c r="B57">
        <f t="shared" ref="B57:J57" si="0">AVERAGE(B2:B51)</f>
        <v>6.56</v>
      </c>
      <c r="C57">
        <f>AVERAGE(C2:C51)</f>
        <v>12.6</v>
      </c>
      <c r="D57">
        <f t="shared" si="0"/>
        <v>1.9</v>
      </c>
      <c r="E57">
        <f t="shared" si="0"/>
        <v>2.58</v>
      </c>
      <c r="F57">
        <f t="shared" si="0"/>
        <v>4.16</v>
      </c>
      <c r="G57">
        <f t="shared" si="0"/>
        <v>1.2</v>
      </c>
      <c r="H57">
        <f t="shared" si="0"/>
        <v>2.02</v>
      </c>
      <c r="I57">
        <f t="shared" si="0"/>
        <v>0.78</v>
      </c>
      <c r="J57">
        <f t="shared" si="0"/>
        <v>4.2</v>
      </c>
    </row>
    <row r="59" spans="1:10" ht="24.6" x14ac:dyDescent="0.4">
      <c r="A59" s="25" t="s">
        <v>202</v>
      </c>
    </row>
    <row r="60" spans="1:10" ht="13.8" x14ac:dyDescent="0.25">
      <c r="A60" s="9" t="s">
        <v>113</v>
      </c>
      <c r="B60" s="9" t="s">
        <v>120</v>
      </c>
      <c r="C60" s="9" t="s">
        <v>121</v>
      </c>
      <c r="D60" s="9" t="s">
        <v>122</v>
      </c>
      <c r="E60" s="9" t="s">
        <v>114</v>
      </c>
      <c r="F60" s="9" t="s">
        <v>115</v>
      </c>
      <c r="G60" s="9" t="s">
        <v>117</v>
      </c>
      <c r="H60" s="9" t="s">
        <v>116</v>
      </c>
      <c r="I60" s="9" t="s">
        <v>118</v>
      </c>
      <c r="J60" s="9" t="s">
        <v>131</v>
      </c>
    </row>
    <row r="61" spans="1:10" x14ac:dyDescent="0.25">
      <c r="A61">
        <f>MEDIAN(A2:A51)</f>
        <v>19.5</v>
      </c>
      <c r="B61">
        <f t="shared" ref="B61:J61" si="1">MEDIAN(B2:B51)</f>
        <v>6</v>
      </c>
      <c r="C61">
        <f t="shared" si="1"/>
        <v>10</v>
      </c>
      <c r="D61">
        <f t="shared" si="1"/>
        <v>2</v>
      </c>
      <c r="E61">
        <f t="shared" si="1"/>
        <v>3</v>
      </c>
      <c r="F61">
        <f t="shared" si="1"/>
        <v>4</v>
      </c>
      <c r="G61">
        <f t="shared" si="1"/>
        <v>1</v>
      </c>
      <c r="H61">
        <f t="shared" si="1"/>
        <v>2</v>
      </c>
      <c r="I61">
        <f t="shared" si="1"/>
        <v>0</v>
      </c>
      <c r="J61">
        <f t="shared" si="1"/>
        <v>4</v>
      </c>
    </row>
    <row r="63" spans="1:10" ht="24.6" x14ac:dyDescent="0.4">
      <c r="A63" s="25" t="s">
        <v>203</v>
      </c>
    </row>
    <row r="64" spans="1:10" ht="13.8" x14ac:dyDescent="0.25">
      <c r="A64" s="9" t="s">
        <v>119</v>
      </c>
      <c r="B64" s="9" t="s">
        <v>123</v>
      </c>
      <c r="C64" s="9" t="s">
        <v>124</v>
      </c>
      <c r="D64" s="9" t="s">
        <v>125</v>
      </c>
      <c r="E64" s="9" t="s">
        <v>126</v>
      </c>
      <c r="F64" s="9" t="s">
        <v>127</v>
      </c>
      <c r="G64" s="9" t="s">
        <v>128</v>
      </c>
      <c r="H64" s="9" t="s">
        <v>129</v>
      </c>
      <c r="I64" s="9" t="s">
        <v>130</v>
      </c>
      <c r="J64" s="9" t="s">
        <v>132</v>
      </c>
    </row>
    <row r="65" spans="1:10" x14ac:dyDescent="0.25">
      <c r="A65">
        <f>_xlfn.MODE.SNGL(A2:A51)</f>
        <v>19</v>
      </c>
      <c r="B65">
        <f t="shared" ref="B65:J65" si="2">_xlfn.MODE.SNGL(B2:B51)</f>
        <v>6</v>
      </c>
      <c r="C65">
        <f t="shared" si="2"/>
        <v>20</v>
      </c>
      <c r="D65">
        <f t="shared" si="2"/>
        <v>3</v>
      </c>
      <c r="E65">
        <f t="shared" si="2"/>
        <v>3</v>
      </c>
      <c r="F65">
        <f t="shared" si="2"/>
        <v>6</v>
      </c>
      <c r="G65">
        <f t="shared" si="2"/>
        <v>0</v>
      </c>
      <c r="H65">
        <f t="shared" si="2"/>
        <v>3</v>
      </c>
      <c r="I65">
        <f t="shared" si="2"/>
        <v>0</v>
      </c>
      <c r="J65">
        <f t="shared" si="2"/>
        <v>6</v>
      </c>
    </row>
    <row r="67" spans="1:10" ht="24.6" x14ac:dyDescent="0.4">
      <c r="A67" s="25" t="s">
        <v>204</v>
      </c>
    </row>
    <row r="68" spans="1:10" ht="13.8" x14ac:dyDescent="0.25">
      <c r="A68" s="9" t="s">
        <v>133</v>
      </c>
      <c r="B68" s="9" t="s">
        <v>134</v>
      </c>
      <c r="C68" s="9" t="s">
        <v>135</v>
      </c>
      <c r="D68" s="9" t="s">
        <v>136</v>
      </c>
      <c r="E68" s="9" t="s">
        <v>137</v>
      </c>
      <c r="F68" s="9" t="s">
        <v>138</v>
      </c>
      <c r="G68" s="9" t="s">
        <v>139</v>
      </c>
      <c r="H68" s="9" t="s">
        <v>140</v>
      </c>
      <c r="I68" s="9" t="s">
        <v>141</v>
      </c>
      <c r="J68" s="9" t="s">
        <v>142</v>
      </c>
    </row>
    <row r="69" spans="1:10" x14ac:dyDescent="0.25">
      <c r="A69">
        <f>MAX(A2:A51) - MIN(A2:A51)</f>
        <v>3</v>
      </c>
      <c r="B69">
        <f t="shared" ref="B69:J69" si="3">MAX(B2:B51) - MIN(B2:B51)</f>
        <v>6</v>
      </c>
      <c r="C69">
        <f t="shared" si="3"/>
        <v>15</v>
      </c>
      <c r="D69">
        <f t="shared" si="3"/>
        <v>3</v>
      </c>
      <c r="E69">
        <f t="shared" si="3"/>
        <v>3</v>
      </c>
      <c r="F69">
        <f t="shared" si="3"/>
        <v>6</v>
      </c>
      <c r="G69">
        <f t="shared" si="3"/>
        <v>3</v>
      </c>
      <c r="H69">
        <f t="shared" si="3"/>
        <v>3</v>
      </c>
      <c r="I69">
        <f t="shared" si="3"/>
        <v>3</v>
      </c>
      <c r="J69">
        <f t="shared" si="3"/>
        <v>6</v>
      </c>
    </row>
    <row r="71" spans="1:10" ht="24.6" x14ac:dyDescent="0.4">
      <c r="A71" s="25" t="s">
        <v>205</v>
      </c>
    </row>
    <row r="72" spans="1:10" ht="13.8" x14ac:dyDescent="0.25">
      <c r="A72" s="9" t="s">
        <v>143</v>
      </c>
      <c r="B72" s="9" t="s">
        <v>144</v>
      </c>
      <c r="C72" s="9" t="s">
        <v>145</v>
      </c>
      <c r="D72" s="9" t="s">
        <v>146</v>
      </c>
      <c r="E72" s="9" t="s">
        <v>147</v>
      </c>
      <c r="F72" s="9" t="s">
        <v>148</v>
      </c>
      <c r="G72" s="9" t="s">
        <v>149</v>
      </c>
      <c r="H72" s="9" t="s">
        <v>150</v>
      </c>
      <c r="I72" s="9" t="s">
        <v>151</v>
      </c>
      <c r="J72" s="9" t="s">
        <v>152</v>
      </c>
    </row>
    <row r="73" spans="1:10" x14ac:dyDescent="0.25">
      <c r="A73">
        <f>_xlfn.VAR.S(A2:A51)</f>
        <v>1.7016326530612247</v>
      </c>
      <c r="B73">
        <f t="shared" ref="B73:J73" si="4">_xlfn.VAR.S(B2:B51)</f>
        <v>3.1085714285714321</v>
      </c>
      <c r="C73">
        <f t="shared" si="4"/>
        <v>36.979591836734691</v>
      </c>
      <c r="D73">
        <f t="shared" si="4"/>
        <v>1.3163265306122449</v>
      </c>
      <c r="E73">
        <f t="shared" si="4"/>
        <v>0.69755102040816341</v>
      </c>
      <c r="F73">
        <f t="shared" si="4"/>
        <v>3.4024489795918371</v>
      </c>
      <c r="G73">
        <f t="shared" si="4"/>
        <v>1.5510204081632653</v>
      </c>
      <c r="H73">
        <f t="shared" si="4"/>
        <v>1.3261224489795915</v>
      </c>
      <c r="I73">
        <f t="shared" si="4"/>
        <v>1.3995918367346938</v>
      </c>
      <c r="J73">
        <f t="shared" si="4"/>
        <v>4.1224489795918364</v>
      </c>
    </row>
    <row r="75" spans="1:10" ht="24.6" x14ac:dyDescent="0.4">
      <c r="A75" s="25" t="s">
        <v>206</v>
      </c>
    </row>
    <row r="76" spans="1:10" ht="13.8" x14ac:dyDescent="0.25">
      <c r="A76" s="9" t="s">
        <v>153</v>
      </c>
      <c r="B76" s="9" t="s">
        <v>154</v>
      </c>
      <c r="C76" s="9" t="s">
        <v>155</v>
      </c>
      <c r="D76" s="9" t="s">
        <v>156</v>
      </c>
      <c r="E76" s="9" t="s">
        <v>157</v>
      </c>
      <c r="F76" s="9" t="s">
        <v>158</v>
      </c>
      <c r="G76" s="9" t="s">
        <v>159</v>
      </c>
      <c r="H76" s="9" t="s">
        <v>160</v>
      </c>
      <c r="I76" s="9" t="s">
        <v>161</v>
      </c>
      <c r="J76" s="9" t="s">
        <v>162</v>
      </c>
    </row>
    <row r="77" spans="1:10" x14ac:dyDescent="0.25">
      <c r="A77">
        <f>_xlfn.STDEV.S(A2:A51)</f>
        <v>1.3044664246584596</v>
      </c>
      <c r="B77">
        <f>_xlfn.STDEV.S(B2:B51)</f>
        <v>1.7631141280618881</v>
      </c>
      <c r="C77">
        <f t="shared" ref="C77:J77" si="5">_xlfn.STDEV.S(C2:C51)</f>
        <v>6.0810847582265035</v>
      </c>
      <c r="D77">
        <f t="shared" si="5"/>
        <v>1.1473127431577865</v>
      </c>
      <c r="E77">
        <f t="shared" si="5"/>
        <v>0.835195198985341</v>
      </c>
      <c r="F77">
        <f t="shared" si="5"/>
        <v>1.8445728447507399</v>
      </c>
      <c r="G77">
        <f t="shared" si="5"/>
        <v>1.2453996981544782</v>
      </c>
      <c r="H77">
        <f t="shared" si="5"/>
        <v>1.15157390078952</v>
      </c>
      <c r="I77">
        <f t="shared" si="5"/>
        <v>1.1830434635864795</v>
      </c>
      <c r="J77">
        <f t="shared" si="5"/>
        <v>2.0303814862216991</v>
      </c>
    </row>
    <row r="79" spans="1:10" ht="24.6" x14ac:dyDescent="0.4">
      <c r="A79" s="25" t="s">
        <v>208</v>
      </c>
    </row>
    <row r="80" spans="1:10" ht="13.8" x14ac:dyDescent="0.25">
      <c r="A80" s="43" t="s">
        <v>207</v>
      </c>
      <c r="B80" s="13" t="s">
        <v>166</v>
      </c>
      <c r="C80" s="13" t="s">
        <v>167</v>
      </c>
      <c r="D80" s="13" t="s">
        <v>168</v>
      </c>
      <c r="E80" s="13" t="s">
        <v>169</v>
      </c>
      <c r="F80" s="13" t="s">
        <v>158</v>
      </c>
      <c r="G80" s="13" t="s">
        <v>170</v>
      </c>
      <c r="H80" s="13" t="s">
        <v>171</v>
      </c>
      <c r="I80" s="13" t="s">
        <v>172</v>
      </c>
      <c r="J80" s="13" t="s">
        <v>173</v>
      </c>
    </row>
    <row r="81" spans="1:10" x14ac:dyDescent="0.25">
      <c r="A81" s="14">
        <f>_xlfn.PERCENTILE.EXC(A2:A51, 0.25)</f>
        <v>19</v>
      </c>
      <c r="B81" s="14">
        <f t="shared" ref="B81:J81" si="6">_xlfn.PERCENTILE.EXC(B2:B51, 0.25)</f>
        <v>6</v>
      </c>
      <c r="C81" s="14">
        <f t="shared" si="6"/>
        <v>5</v>
      </c>
      <c r="D81" s="14">
        <f t="shared" si="6"/>
        <v>1</v>
      </c>
      <c r="E81" s="14">
        <f t="shared" si="6"/>
        <v>2</v>
      </c>
      <c r="F81" s="14">
        <f t="shared" si="6"/>
        <v>2</v>
      </c>
      <c r="G81" s="14">
        <f t="shared" si="6"/>
        <v>0</v>
      </c>
      <c r="H81" s="14">
        <f t="shared" si="6"/>
        <v>1.75</v>
      </c>
      <c r="I81" s="14">
        <f t="shared" si="6"/>
        <v>0</v>
      </c>
      <c r="J81" s="14">
        <f t="shared" si="6"/>
        <v>2</v>
      </c>
    </row>
    <row r="82" spans="1:10" x14ac:dyDescent="0.25">
      <c r="A82">
        <f>_xlfn.PERCENTILE.EXC(A2:A51, 0.75)</f>
        <v>22</v>
      </c>
      <c r="B82">
        <f t="shared" ref="B82:J82" si="7">_xlfn.PERCENTILE.EXC(B2:B51, 0.75)</f>
        <v>8</v>
      </c>
      <c r="C82">
        <f t="shared" si="7"/>
        <v>20</v>
      </c>
      <c r="D82">
        <f t="shared" si="7"/>
        <v>3</v>
      </c>
      <c r="E82">
        <f t="shared" si="7"/>
        <v>3</v>
      </c>
      <c r="F82">
        <f t="shared" si="7"/>
        <v>6</v>
      </c>
      <c r="G82">
        <f t="shared" si="7"/>
        <v>2.25</v>
      </c>
      <c r="H82">
        <f t="shared" si="7"/>
        <v>3</v>
      </c>
      <c r="I82">
        <f t="shared" si="7"/>
        <v>2</v>
      </c>
      <c r="J82">
        <f t="shared" si="7"/>
        <v>6</v>
      </c>
    </row>
    <row r="83" spans="1:10" x14ac:dyDescent="0.25">
      <c r="A83">
        <f>_xlfn.PERCENTILE.EXC(A2:A51, 0.75) - _xlfn.PERCENTILE.EXC(A2:A51, 0.25)</f>
        <v>3</v>
      </c>
      <c r="B83">
        <f t="shared" ref="B83:J83" si="8">_xlfn.PERCENTILE.EXC(B2:B51, 0.75) - _xlfn.PERCENTILE.EXC(B2:B51, 0.25)</f>
        <v>2</v>
      </c>
      <c r="C83">
        <f t="shared" si="8"/>
        <v>15</v>
      </c>
      <c r="D83">
        <f t="shared" si="8"/>
        <v>2</v>
      </c>
      <c r="E83">
        <f t="shared" si="8"/>
        <v>1</v>
      </c>
      <c r="F83">
        <f t="shared" si="8"/>
        <v>4</v>
      </c>
      <c r="G83">
        <f t="shared" si="8"/>
        <v>2.25</v>
      </c>
      <c r="H83">
        <f t="shared" si="8"/>
        <v>1.25</v>
      </c>
      <c r="I83">
        <f t="shared" si="8"/>
        <v>2</v>
      </c>
      <c r="J83">
        <f t="shared" si="8"/>
        <v>4</v>
      </c>
    </row>
    <row r="85" spans="1:10" ht="24.6" x14ac:dyDescent="0.4">
      <c r="A85" s="25" t="s">
        <v>209</v>
      </c>
    </row>
    <row r="86" spans="1:10" ht="13.8" x14ac:dyDescent="0.25">
      <c r="A86" s="43" t="s">
        <v>163</v>
      </c>
      <c r="B86" s="13" t="s">
        <v>174</v>
      </c>
      <c r="C86" s="13" t="s">
        <v>175</v>
      </c>
      <c r="D86" s="13" t="s">
        <v>176</v>
      </c>
      <c r="E86" s="13" t="s">
        <v>177</v>
      </c>
      <c r="F86" s="13" t="s">
        <v>178</v>
      </c>
      <c r="G86" s="13" t="s">
        <v>179</v>
      </c>
      <c r="H86" s="13" t="s">
        <v>180</v>
      </c>
      <c r="I86" s="13" t="s">
        <v>181</v>
      </c>
      <c r="J86" s="13" t="s">
        <v>182</v>
      </c>
    </row>
    <row r="87" spans="1:10" x14ac:dyDescent="0.25">
      <c r="A87">
        <f>_xlfn.PERCENTILE.EXC(A2:A51, 0.25)</f>
        <v>19</v>
      </c>
      <c r="B87">
        <f t="shared" ref="B87:J87" si="9">_xlfn.PERCENTILE.EXC(B2:B51, 0.25)</f>
        <v>6</v>
      </c>
      <c r="C87">
        <f t="shared" si="9"/>
        <v>5</v>
      </c>
      <c r="D87">
        <f t="shared" si="9"/>
        <v>1</v>
      </c>
      <c r="E87">
        <f t="shared" si="9"/>
        <v>2</v>
      </c>
      <c r="F87">
        <f t="shared" si="9"/>
        <v>2</v>
      </c>
      <c r="G87">
        <f t="shared" si="9"/>
        <v>0</v>
      </c>
      <c r="H87">
        <f t="shared" si="9"/>
        <v>1.75</v>
      </c>
      <c r="I87">
        <f t="shared" si="9"/>
        <v>0</v>
      </c>
      <c r="J87">
        <f t="shared" si="9"/>
        <v>2</v>
      </c>
    </row>
    <row r="88" spans="1:10" x14ac:dyDescent="0.25">
      <c r="A88">
        <f>_xlfn.PERCENTILE.EXC(A2:A51, 0.5)</f>
        <v>19.5</v>
      </c>
      <c r="B88">
        <f t="shared" ref="B88:J88" si="10">_xlfn.PERCENTILE.EXC(B2:B51, 0.5)</f>
        <v>6</v>
      </c>
      <c r="C88">
        <f t="shared" si="10"/>
        <v>10</v>
      </c>
      <c r="D88">
        <f t="shared" si="10"/>
        <v>2</v>
      </c>
      <c r="E88">
        <f t="shared" si="10"/>
        <v>3</v>
      </c>
      <c r="F88">
        <f t="shared" si="10"/>
        <v>4</v>
      </c>
      <c r="G88">
        <f t="shared" si="10"/>
        <v>1</v>
      </c>
      <c r="H88">
        <f t="shared" si="10"/>
        <v>2</v>
      </c>
      <c r="I88">
        <f t="shared" si="10"/>
        <v>0</v>
      </c>
      <c r="J88">
        <f t="shared" si="10"/>
        <v>4</v>
      </c>
    </row>
    <row r="89" spans="1:10" x14ac:dyDescent="0.25">
      <c r="A89">
        <f>_xlfn.PERCENTILE.EXC(A2:A51, 0.75)</f>
        <v>22</v>
      </c>
      <c r="B89">
        <f>_xlfn.PERCENTILE.EXC(B2:B51, 0.75)</f>
        <v>8</v>
      </c>
      <c r="C89">
        <f t="shared" ref="C89:J89" si="11">_xlfn.PERCENTILE.EXC(C2:C51, 0.75)</f>
        <v>20</v>
      </c>
      <c r="D89">
        <f t="shared" si="11"/>
        <v>3</v>
      </c>
      <c r="E89">
        <f t="shared" si="11"/>
        <v>3</v>
      </c>
      <c r="F89">
        <f t="shared" si="11"/>
        <v>6</v>
      </c>
      <c r="G89">
        <f t="shared" si="11"/>
        <v>2.25</v>
      </c>
      <c r="H89">
        <f t="shared" si="11"/>
        <v>3</v>
      </c>
      <c r="I89">
        <f t="shared" si="11"/>
        <v>2</v>
      </c>
      <c r="J89">
        <f t="shared" si="11"/>
        <v>6</v>
      </c>
    </row>
    <row r="91" spans="1:10" ht="24.6" x14ac:dyDescent="0.4">
      <c r="A91" s="25" t="s">
        <v>222</v>
      </c>
    </row>
    <row r="92" spans="1:10" ht="13.8" x14ac:dyDescent="0.25">
      <c r="A92" s="43" t="s">
        <v>164</v>
      </c>
      <c r="B92" s="13" t="s">
        <v>183</v>
      </c>
      <c r="C92" s="13" t="s">
        <v>184</v>
      </c>
      <c r="D92" s="13" t="s">
        <v>185</v>
      </c>
      <c r="E92" s="13" t="s">
        <v>186</v>
      </c>
      <c r="F92" s="13" t="s">
        <v>187</v>
      </c>
      <c r="G92" s="13" t="s">
        <v>188</v>
      </c>
      <c r="H92" s="13" t="s">
        <v>189</v>
      </c>
      <c r="I92" s="13" t="s">
        <v>190</v>
      </c>
      <c r="J92" s="13" t="s">
        <v>191</v>
      </c>
    </row>
    <row r="112" spans="1:1" ht="24.6" x14ac:dyDescent="0.4">
      <c r="A112" s="25" t="s">
        <v>221</v>
      </c>
    </row>
    <row r="113" spans="1:10" ht="13.8" x14ac:dyDescent="0.25">
      <c r="A113" s="43" t="s">
        <v>165</v>
      </c>
      <c r="B113" s="15" t="s">
        <v>192</v>
      </c>
      <c r="C113" s="15" t="s">
        <v>193</v>
      </c>
      <c r="D113" s="15" t="s">
        <v>194</v>
      </c>
      <c r="E113" s="15" t="s">
        <v>242</v>
      </c>
      <c r="F113" s="15" t="s">
        <v>243</v>
      </c>
      <c r="G113" s="15" t="s">
        <v>244</v>
      </c>
      <c r="H113" s="15" t="s">
        <v>195</v>
      </c>
      <c r="I113" s="15" t="s">
        <v>196</v>
      </c>
      <c r="J113" s="15" t="s">
        <v>197</v>
      </c>
    </row>
    <row r="132" spans="1:10" ht="24.6" x14ac:dyDescent="0.4">
      <c r="A132" s="25" t="s">
        <v>232</v>
      </c>
    </row>
    <row r="133" spans="1:10" ht="13.8" x14ac:dyDescent="0.25">
      <c r="A133" s="43" t="s">
        <v>233</v>
      </c>
      <c r="B133" s="15" t="s">
        <v>234</v>
      </c>
      <c r="C133" s="15" t="s">
        <v>235</v>
      </c>
      <c r="D133" s="15" t="s">
        <v>236</v>
      </c>
      <c r="E133" s="15" t="s">
        <v>237</v>
      </c>
      <c r="F133" s="15" t="s">
        <v>238</v>
      </c>
      <c r="G133" s="15" t="s">
        <v>239</v>
      </c>
      <c r="H133" s="15" t="s">
        <v>240</v>
      </c>
      <c r="I133" s="15" t="s">
        <v>255</v>
      </c>
      <c r="J133" s="15" t="s">
        <v>241</v>
      </c>
    </row>
    <row r="134" spans="1:10" x14ac:dyDescent="0.25">
      <c r="A134">
        <f>_xlfn.STDEV.S(A2:A50) / AVERAGE(A2:A50)</f>
        <v>6.4675393358980274E-2</v>
      </c>
      <c r="B134">
        <f t="shared" ref="B134:J134" si="12">_xlfn.STDEV.S(B2:B50) / AVERAGE(B2:B50)</f>
        <v>0.26338550874336047</v>
      </c>
      <c r="C134">
        <f t="shared" si="12"/>
        <v>0.47379883213589002</v>
      </c>
      <c r="D134">
        <f t="shared" si="12"/>
        <v>0.61146336346875618</v>
      </c>
      <c r="E134">
        <f t="shared" si="12"/>
        <v>0.32394103353684556</v>
      </c>
      <c r="F134">
        <f t="shared" si="12"/>
        <v>0.44761550165178571</v>
      </c>
      <c r="G134">
        <f t="shared" si="12"/>
        <v>1.0579119508263632</v>
      </c>
      <c r="H134">
        <f t="shared" si="12"/>
        <v>0.57735026918962573</v>
      </c>
      <c r="I134">
        <f t="shared" si="12"/>
        <v>1.4949784454192792</v>
      </c>
      <c r="J134">
        <f t="shared" si="12"/>
        <v>0.48869459588600583</v>
      </c>
    </row>
    <row r="137" spans="1:10" ht="24.6" x14ac:dyDescent="0.4">
      <c r="A137" s="25" t="s">
        <v>246</v>
      </c>
    </row>
    <row r="138" spans="1:10" ht="13.8" x14ac:dyDescent="0.25">
      <c r="A138" s="43" t="s">
        <v>245</v>
      </c>
      <c r="B138" s="15" t="s">
        <v>247</v>
      </c>
      <c r="C138" s="15" t="s">
        <v>248</v>
      </c>
      <c r="D138" s="15" t="s">
        <v>249</v>
      </c>
      <c r="E138" s="15" t="s">
        <v>250</v>
      </c>
      <c r="F138" s="15" t="s">
        <v>251</v>
      </c>
      <c r="G138" s="15" t="s">
        <v>252</v>
      </c>
      <c r="H138" s="15" t="s">
        <v>253</v>
      </c>
      <c r="I138" s="15" t="s">
        <v>254</v>
      </c>
      <c r="J138" s="15" t="s">
        <v>256</v>
      </c>
    </row>
    <row r="159" spans="1:10" ht="24.6" x14ac:dyDescent="0.4">
      <c r="A159" s="25" t="s">
        <v>403</v>
      </c>
    </row>
    <row r="160" spans="1:10" ht="13.8" x14ac:dyDescent="0.25">
      <c r="A160" s="43" t="s">
        <v>447</v>
      </c>
      <c r="B160" s="43" t="s">
        <v>448</v>
      </c>
      <c r="C160" s="43" t="s">
        <v>449</v>
      </c>
      <c r="D160" s="43" t="s">
        <v>450</v>
      </c>
      <c r="E160" s="43" t="s">
        <v>451</v>
      </c>
      <c r="F160" s="43" t="s">
        <v>452</v>
      </c>
      <c r="G160" s="43" t="s">
        <v>453</v>
      </c>
      <c r="H160" s="43" t="s">
        <v>454</v>
      </c>
      <c r="I160" s="43" t="s">
        <v>455</v>
      </c>
      <c r="J160" s="43" t="s">
        <v>456</v>
      </c>
    </row>
    <row r="161" spans="1:10" x14ac:dyDescent="0.25">
      <c r="A161">
        <f>(A2 - AVERAGE(A2:A51)) / _xlfn.STDEV.P(A2:A51)</f>
        <v>1.4093713692679986</v>
      </c>
      <c r="B161">
        <f t="shared" ref="B161:J161" si="13">(B2 - AVERAGE(B2:B51)) / _xlfn.STDEV.P(B2:B51)</f>
        <v>0.82502864732539039</v>
      </c>
      <c r="C161">
        <f>(C2 - AVERAGE(C2:C51)) / _xlfn.STDEV.P(C2:C51)</f>
        <v>-1.2624654389516812</v>
      </c>
      <c r="D161">
        <f t="shared" si="13"/>
        <v>0.96849599695818633</v>
      </c>
      <c r="E161">
        <f t="shared" si="13"/>
        <v>0.5079819295266027</v>
      </c>
      <c r="F161">
        <f t="shared" si="13"/>
        <v>-1.1828914767134735</v>
      </c>
      <c r="G161">
        <f t="shared" si="13"/>
        <v>0.64888568452305018</v>
      </c>
      <c r="H161">
        <f t="shared" si="13"/>
        <v>-1.754385964912282E-2</v>
      </c>
      <c r="I161">
        <f t="shared" si="13"/>
        <v>-0.66601017545212804</v>
      </c>
      <c r="J161">
        <f t="shared" si="13"/>
        <v>0.89553347118899018</v>
      </c>
    </row>
    <row r="164" spans="1:10" ht="24.6" x14ac:dyDescent="0.4">
      <c r="A164" s="25" t="s">
        <v>413</v>
      </c>
    </row>
    <row r="165" spans="1:10" ht="13.8" x14ac:dyDescent="0.25">
      <c r="A165" s="43" t="s">
        <v>457</v>
      </c>
      <c r="B165" s="43" t="s">
        <v>458</v>
      </c>
      <c r="C165" s="43" t="s">
        <v>459</v>
      </c>
      <c r="D165" s="43" t="s">
        <v>460</v>
      </c>
      <c r="E165" s="43" t="s">
        <v>461</v>
      </c>
      <c r="F165" s="43" t="s">
        <v>462</v>
      </c>
      <c r="G165" s="43" t="s">
        <v>463</v>
      </c>
      <c r="H165" s="43" t="s">
        <v>464</v>
      </c>
      <c r="I165" s="43" t="s">
        <v>465</v>
      </c>
      <c r="J165" s="43" t="s">
        <v>466</v>
      </c>
    </row>
    <row r="166" spans="1:10" x14ac:dyDescent="0.25">
      <c r="A166">
        <f>SKEW(A2:A51)</f>
        <v>0.39920412749836609</v>
      </c>
      <c r="B166">
        <f t="shared" ref="B166:J166" si="14">SKEW(B2:B51)</f>
        <v>0.15251852318874534</v>
      </c>
      <c r="C166">
        <f t="shared" si="14"/>
        <v>2.2461355071352024E-2</v>
      </c>
      <c r="D166">
        <f t="shared" si="14"/>
        <v>-0.55741983825675723</v>
      </c>
      <c r="E166">
        <f t="shared" si="14"/>
        <v>-2.1247437454897797</v>
      </c>
      <c r="F166">
        <f t="shared" si="14"/>
        <v>-0.32595492364466749</v>
      </c>
      <c r="G166">
        <f t="shared" si="14"/>
        <v>0.39619493513830584</v>
      </c>
      <c r="H166">
        <f t="shared" si="14"/>
        <v>-0.87559317610114429</v>
      </c>
      <c r="I166">
        <f t="shared" si="14"/>
        <v>1.0630060722559507</v>
      </c>
      <c r="J166">
        <f t="shared" si="14"/>
        <v>-0.81680011999630342</v>
      </c>
    </row>
    <row r="169" spans="1:10" ht="24.6" x14ac:dyDescent="0.4">
      <c r="A169" s="25" t="s">
        <v>467</v>
      </c>
    </row>
    <row r="170" spans="1:10" ht="13.8" x14ac:dyDescent="0.25">
      <c r="A170" s="43" t="s">
        <v>468</v>
      </c>
      <c r="B170" s="43" t="s">
        <v>469</v>
      </c>
      <c r="C170" s="43" t="s">
        <v>470</v>
      </c>
      <c r="D170" s="43" t="s">
        <v>471</v>
      </c>
      <c r="E170" s="43" t="s">
        <v>472</v>
      </c>
      <c r="F170" s="43" t="s">
        <v>473</v>
      </c>
      <c r="G170" s="43" t="s">
        <v>474</v>
      </c>
      <c r="H170" s="43" t="s">
        <v>475</v>
      </c>
      <c r="I170" s="71" t="s">
        <v>501</v>
      </c>
      <c r="J170" s="43" t="s">
        <v>476</v>
      </c>
    </row>
    <row r="171" spans="1:10" x14ac:dyDescent="0.25">
      <c r="A171">
        <f>CORREL(A2:A51, B2:B51)</f>
        <v>-0.15120292043957512</v>
      </c>
      <c r="B171">
        <f t="shared" ref="B171:I171" si="15">CORREL(B2:B51, C2:C51)</f>
        <v>-0.27181326371449538</v>
      </c>
      <c r="C171">
        <f t="shared" si="15"/>
        <v>-7.8977759679221535E-2</v>
      </c>
      <c r="D171">
        <f t="shared" si="15"/>
        <v>-2.3427545965410058E-2</v>
      </c>
      <c r="E171">
        <f t="shared" si="15"/>
        <v>9.74985000318455E-2</v>
      </c>
      <c r="F171">
        <f t="shared" si="15"/>
        <v>0.12792689093061727</v>
      </c>
      <c r="G171">
        <f t="shared" si="15"/>
        <v>2.5613908599594091E-2</v>
      </c>
      <c r="H171">
        <f t="shared" si="15"/>
        <v>0.10815549857769595</v>
      </c>
      <c r="I171">
        <f t="shared" si="15"/>
        <v>0.18861600818789567</v>
      </c>
      <c r="J171">
        <f>CORREL(J2:J51, A2:A51)</f>
        <v>3.2362544474742322E-2</v>
      </c>
    </row>
    <row r="176" spans="1:10" ht="24.6" x14ac:dyDescent="0.4">
      <c r="A176" s="25" t="s">
        <v>490</v>
      </c>
    </row>
    <row r="177" spans="1:10" ht="13.8" x14ac:dyDescent="0.25">
      <c r="A177" s="71" t="s">
        <v>491</v>
      </c>
      <c r="B177" s="71" t="s">
        <v>492</v>
      </c>
      <c r="C177" s="71" t="s">
        <v>493</v>
      </c>
      <c r="D177" s="71" t="s">
        <v>494</v>
      </c>
      <c r="E177" s="71" t="s">
        <v>495</v>
      </c>
      <c r="F177" s="71" t="s">
        <v>496</v>
      </c>
      <c r="G177" s="71" t="s">
        <v>497</v>
      </c>
      <c r="H177" s="71" t="s">
        <v>498</v>
      </c>
      <c r="I177" s="71" t="s">
        <v>499</v>
      </c>
      <c r="J177" s="71" t="s">
        <v>500</v>
      </c>
    </row>
    <row r="178" spans="1:10" x14ac:dyDescent="0.25">
      <c r="A178">
        <f>_xlfn.POISSON.DIST(2, AVERAGE(A2:A51), TRUE)</f>
        <v>3.8701368374097033E-7</v>
      </c>
      <c r="B178" s="14">
        <f>_xlfn.POISSON.DIST(2, AVERAGE(A2:A51), TRUE)</f>
        <v>3.8701368374097033E-7</v>
      </c>
      <c r="C178" s="14">
        <f t="shared" ref="C178:J178" si="16">_xlfn.POISSON.DIST(2, AVERAGE(B2:B51), TRUE)</f>
        <v>4.1169425622611923E-2</v>
      </c>
      <c r="D178" s="14">
        <f t="shared" si="16"/>
        <v>3.1352997647026137E-4</v>
      </c>
      <c r="E178" s="14">
        <f t="shared" si="16"/>
        <v>0.70372035344249784</v>
      </c>
      <c r="F178" s="14">
        <f t="shared" si="16"/>
        <v>0.52346197459062127</v>
      </c>
      <c r="G178" s="14">
        <f t="shared" si="16"/>
        <v>0.21558407603713886</v>
      </c>
      <c r="H178" s="14">
        <f t="shared" si="16"/>
        <v>0.87948709878363007</v>
      </c>
      <c r="I178" s="14">
        <f t="shared" si="16"/>
        <v>0.67126318439843202</v>
      </c>
      <c r="J178" s="14">
        <f t="shared" si="16"/>
        <v>0.95540980876234682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0E1DE-66AC-468C-924A-1EA92714C6C3}">
  <dimension ref="A1:J70"/>
  <sheetViews>
    <sheetView tabSelected="1" topLeftCell="A106" zoomScale="95" zoomScaleNormal="100" workbookViewId="0">
      <selection activeCell="A57" sqref="A57"/>
    </sheetView>
  </sheetViews>
  <sheetFormatPr defaultRowHeight="13.2" x14ac:dyDescent="0.25"/>
  <cols>
    <col min="1" max="1" width="102.109375" bestFit="1" customWidth="1"/>
    <col min="2" max="2" width="119.33203125" bestFit="1" customWidth="1"/>
    <col min="3" max="3" width="119.109375" bestFit="1" customWidth="1"/>
    <col min="4" max="4" width="105.21875" bestFit="1" customWidth="1"/>
    <col min="5" max="5" width="130" bestFit="1" customWidth="1"/>
    <col min="6" max="6" width="98.21875" bestFit="1" customWidth="1"/>
    <col min="7" max="7" width="106.6640625" bestFit="1" customWidth="1"/>
    <col min="8" max="8" width="115.88671875" bestFit="1" customWidth="1"/>
    <col min="9" max="9" width="114.88671875" bestFit="1" customWidth="1"/>
    <col min="10" max="10" width="137.109375" bestFit="1" customWidth="1"/>
  </cols>
  <sheetData>
    <row r="1" spans="1:10" x14ac:dyDescent="0.25">
      <c r="A1" s="17" t="s">
        <v>11</v>
      </c>
      <c r="B1" s="17" t="s">
        <v>12</v>
      </c>
      <c r="C1" s="17" t="s">
        <v>13</v>
      </c>
      <c r="D1" s="17" t="s">
        <v>14</v>
      </c>
      <c r="E1" s="28" t="s">
        <v>15</v>
      </c>
      <c r="F1" s="28" t="s">
        <v>16</v>
      </c>
      <c r="G1" s="28" t="s">
        <v>17</v>
      </c>
      <c r="H1" s="28" t="s">
        <v>18</v>
      </c>
      <c r="I1" s="28" t="s">
        <v>19</v>
      </c>
      <c r="J1" s="28" t="s">
        <v>20</v>
      </c>
    </row>
    <row r="2" spans="1:10" x14ac:dyDescent="0.25">
      <c r="A2" s="29" t="s">
        <v>41</v>
      </c>
      <c r="B2" s="7" t="s">
        <v>42</v>
      </c>
      <c r="C2" s="7" t="s">
        <v>43</v>
      </c>
      <c r="D2" s="29" t="s">
        <v>42</v>
      </c>
      <c r="E2" s="7" t="s">
        <v>44</v>
      </c>
      <c r="F2" s="7" t="s">
        <v>45</v>
      </c>
      <c r="G2" s="7" t="s">
        <v>46</v>
      </c>
      <c r="H2" s="7" t="s">
        <v>47</v>
      </c>
      <c r="I2" s="7" t="s">
        <v>48</v>
      </c>
      <c r="J2" s="7" t="s">
        <v>49</v>
      </c>
    </row>
    <row r="3" spans="1:10" x14ac:dyDescent="0.25">
      <c r="A3" s="8" t="s">
        <v>60</v>
      </c>
      <c r="B3" s="8" t="s">
        <v>61</v>
      </c>
      <c r="C3" s="8" t="s">
        <v>41</v>
      </c>
      <c r="D3" s="30" t="s">
        <v>42</v>
      </c>
      <c r="E3" s="8" t="s">
        <v>62</v>
      </c>
      <c r="F3" s="8" t="s">
        <v>45</v>
      </c>
      <c r="G3" s="8" t="s">
        <v>46</v>
      </c>
      <c r="H3" s="8" t="s">
        <v>47</v>
      </c>
      <c r="I3" s="8" t="s">
        <v>42</v>
      </c>
      <c r="J3" s="8" t="s">
        <v>63</v>
      </c>
    </row>
    <row r="4" spans="1:10" x14ac:dyDescent="0.25">
      <c r="A4" s="7" t="s">
        <v>60</v>
      </c>
      <c r="B4" s="7" t="s">
        <v>61</v>
      </c>
      <c r="C4" s="7" t="s">
        <v>70</v>
      </c>
      <c r="D4" s="7" t="s">
        <v>42</v>
      </c>
      <c r="E4" s="7" t="s">
        <v>71</v>
      </c>
      <c r="F4" s="7" t="s">
        <v>72</v>
      </c>
      <c r="G4" s="7" t="s">
        <v>73</v>
      </c>
      <c r="H4" s="7" t="s">
        <v>47</v>
      </c>
      <c r="I4" s="7" t="s">
        <v>42</v>
      </c>
      <c r="J4" s="7" t="s">
        <v>63</v>
      </c>
    </row>
    <row r="5" spans="1:10" x14ac:dyDescent="0.25">
      <c r="A5" s="8" t="s">
        <v>76</v>
      </c>
      <c r="B5" s="8" t="s">
        <v>42</v>
      </c>
      <c r="C5" s="8" t="s">
        <v>43</v>
      </c>
      <c r="D5" s="8" t="s">
        <v>42</v>
      </c>
      <c r="E5" s="8" t="s">
        <v>71</v>
      </c>
      <c r="F5" s="8" t="s">
        <v>72</v>
      </c>
      <c r="G5" s="8" t="s">
        <v>73</v>
      </c>
      <c r="H5" s="8" t="s">
        <v>47</v>
      </c>
      <c r="I5" s="8" t="s">
        <v>77</v>
      </c>
      <c r="J5" s="8" t="s">
        <v>49</v>
      </c>
    </row>
    <row r="6" spans="1:10" x14ac:dyDescent="0.25">
      <c r="A6" s="7" t="s">
        <v>60</v>
      </c>
      <c r="B6" s="7" t="s">
        <v>61</v>
      </c>
      <c r="C6" s="7" t="s">
        <v>41</v>
      </c>
      <c r="D6" s="7" t="s">
        <v>42</v>
      </c>
      <c r="E6" s="7" t="s">
        <v>71</v>
      </c>
      <c r="F6" s="7" t="s">
        <v>72</v>
      </c>
      <c r="G6" s="7" t="s">
        <v>73</v>
      </c>
      <c r="H6" s="7" t="s">
        <v>47</v>
      </c>
      <c r="I6" s="7" t="s">
        <v>42</v>
      </c>
      <c r="J6" s="7" t="s">
        <v>63</v>
      </c>
    </row>
    <row r="7" spans="1:10" x14ac:dyDescent="0.25">
      <c r="A7" s="8" t="s">
        <v>82</v>
      </c>
      <c r="B7" s="8" t="s">
        <v>47</v>
      </c>
      <c r="C7" s="8" t="s">
        <v>68</v>
      </c>
      <c r="D7" s="8" t="s">
        <v>83</v>
      </c>
      <c r="E7" s="8" t="s">
        <v>44</v>
      </c>
      <c r="F7" s="8" t="s">
        <v>84</v>
      </c>
      <c r="G7" s="8" t="s">
        <v>85</v>
      </c>
      <c r="H7" s="8" t="s">
        <v>77</v>
      </c>
      <c r="I7" s="8" t="s">
        <v>48</v>
      </c>
      <c r="J7" s="8" t="s">
        <v>63</v>
      </c>
    </row>
    <row r="8" spans="1:10" x14ac:dyDescent="0.25">
      <c r="A8" s="7" t="s">
        <v>41</v>
      </c>
      <c r="B8" s="7" t="s">
        <v>83</v>
      </c>
      <c r="C8" s="7" t="s">
        <v>70</v>
      </c>
      <c r="D8" s="7" t="s">
        <v>83</v>
      </c>
      <c r="E8" s="7" t="s">
        <v>44</v>
      </c>
      <c r="F8" s="7" t="s">
        <v>72</v>
      </c>
      <c r="G8" s="7" t="s">
        <v>73</v>
      </c>
      <c r="H8" s="7" t="s">
        <v>88</v>
      </c>
      <c r="I8" s="7" t="s">
        <v>42</v>
      </c>
      <c r="J8" s="7" t="s">
        <v>89</v>
      </c>
    </row>
    <row r="9" spans="1:10" x14ac:dyDescent="0.25">
      <c r="A9" s="8" t="s">
        <v>41</v>
      </c>
      <c r="B9" s="8" t="s">
        <v>83</v>
      </c>
      <c r="C9" s="8" t="s">
        <v>43</v>
      </c>
      <c r="D9" s="8" t="s">
        <v>83</v>
      </c>
      <c r="E9" s="8" t="s">
        <v>44</v>
      </c>
      <c r="F9" s="8" t="s">
        <v>72</v>
      </c>
      <c r="G9" s="8" t="s">
        <v>73</v>
      </c>
      <c r="H9" s="8" t="s">
        <v>83</v>
      </c>
      <c r="I9" s="8" t="s">
        <v>48</v>
      </c>
      <c r="J9" s="8" t="s">
        <v>92</v>
      </c>
    </row>
    <row r="10" spans="1:10" x14ac:dyDescent="0.25">
      <c r="A10" s="7" t="s">
        <v>60</v>
      </c>
      <c r="B10" s="7" t="s">
        <v>61</v>
      </c>
      <c r="C10" s="7" t="s">
        <v>70</v>
      </c>
      <c r="D10" s="7" t="s">
        <v>61</v>
      </c>
      <c r="E10" s="7" t="s">
        <v>94</v>
      </c>
      <c r="F10" s="7" t="s">
        <v>84</v>
      </c>
      <c r="G10" s="7" t="s">
        <v>73</v>
      </c>
      <c r="H10" s="7" t="s">
        <v>88</v>
      </c>
      <c r="I10" s="7" t="s">
        <v>61</v>
      </c>
      <c r="J10" s="7" t="s">
        <v>92</v>
      </c>
    </row>
    <row r="11" spans="1:10" x14ac:dyDescent="0.25">
      <c r="A11" s="8" t="s">
        <v>41</v>
      </c>
      <c r="B11" s="8" t="s">
        <v>83</v>
      </c>
      <c r="C11" s="8" t="s">
        <v>43</v>
      </c>
      <c r="D11" s="8" t="s">
        <v>83</v>
      </c>
      <c r="E11" s="8" t="s">
        <v>44</v>
      </c>
      <c r="F11" s="8" t="s">
        <v>98</v>
      </c>
      <c r="G11" s="8" t="s">
        <v>46</v>
      </c>
      <c r="H11" s="8" t="s">
        <v>47</v>
      </c>
      <c r="I11" s="8" t="s">
        <v>77</v>
      </c>
      <c r="J11" s="8" t="s">
        <v>89</v>
      </c>
    </row>
    <row r="12" spans="1:10" x14ac:dyDescent="0.25">
      <c r="A12" s="7" t="s">
        <v>76</v>
      </c>
      <c r="B12" s="7" t="s">
        <v>83</v>
      </c>
      <c r="C12" s="7" t="s">
        <v>43</v>
      </c>
      <c r="D12" s="7" t="s">
        <v>83</v>
      </c>
      <c r="E12" s="7" t="s">
        <v>44</v>
      </c>
      <c r="F12" s="7" t="s">
        <v>72</v>
      </c>
      <c r="G12" s="7" t="s">
        <v>73</v>
      </c>
      <c r="H12" s="7" t="s">
        <v>47</v>
      </c>
      <c r="I12" s="7" t="s">
        <v>42</v>
      </c>
      <c r="J12" s="7" t="s">
        <v>89</v>
      </c>
    </row>
    <row r="13" spans="1:10" x14ac:dyDescent="0.25">
      <c r="A13" s="8" t="s">
        <v>82</v>
      </c>
      <c r="B13" s="8" t="s">
        <v>47</v>
      </c>
      <c r="C13" s="8" t="s">
        <v>43</v>
      </c>
      <c r="D13" s="8" t="s">
        <v>83</v>
      </c>
      <c r="E13" s="8" t="s">
        <v>62</v>
      </c>
      <c r="F13" s="8" t="s">
        <v>45</v>
      </c>
      <c r="G13" s="8" t="s">
        <v>73</v>
      </c>
      <c r="H13" s="8" t="s">
        <v>47</v>
      </c>
      <c r="I13" s="8" t="s">
        <v>48</v>
      </c>
      <c r="J13" s="8" t="s">
        <v>89</v>
      </c>
    </row>
    <row r="14" spans="1:10" x14ac:dyDescent="0.25">
      <c r="A14" s="7" t="s">
        <v>82</v>
      </c>
      <c r="B14" s="7" t="s">
        <v>83</v>
      </c>
      <c r="C14" s="7" t="s">
        <v>68</v>
      </c>
      <c r="D14" s="7" t="s">
        <v>77</v>
      </c>
      <c r="E14" s="7" t="s">
        <v>44</v>
      </c>
      <c r="F14" s="7" t="s">
        <v>98</v>
      </c>
      <c r="G14" s="7" t="s">
        <v>101</v>
      </c>
      <c r="H14" s="7" t="s">
        <v>77</v>
      </c>
      <c r="I14" s="7" t="s">
        <v>42</v>
      </c>
      <c r="J14" s="7" t="s">
        <v>49</v>
      </c>
    </row>
    <row r="15" spans="1:10" x14ac:dyDescent="0.25">
      <c r="A15" s="8" t="s">
        <v>60</v>
      </c>
      <c r="B15" s="8" t="s">
        <v>42</v>
      </c>
      <c r="C15" s="8" t="s">
        <v>41</v>
      </c>
      <c r="D15" s="8" t="s">
        <v>42</v>
      </c>
      <c r="E15" s="8" t="s">
        <v>44</v>
      </c>
      <c r="F15" s="8" t="s">
        <v>72</v>
      </c>
      <c r="G15" s="8" t="s">
        <v>73</v>
      </c>
      <c r="H15" s="8" t="s">
        <v>83</v>
      </c>
      <c r="I15" s="8" t="s">
        <v>42</v>
      </c>
      <c r="J15" s="8" t="s">
        <v>49</v>
      </c>
    </row>
    <row r="16" spans="1:10" x14ac:dyDescent="0.25">
      <c r="A16" s="7" t="s">
        <v>76</v>
      </c>
      <c r="B16" s="7" t="s">
        <v>83</v>
      </c>
      <c r="C16" s="7" t="s">
        <v>43</v>
      </c>
      <c r="D16" s="7" t="s">
        <v>83</v>
      </c>
      <c r="E16" s="7" t="s">
        <v>94</v>
      </c>
      <c r="F16" s="7" t="s">
        <v>98</v>
      </c>
      <c r="G16" s="7" t="s">
        <v>85</v>
      </c>
      <c r="H16" s="7" t="s">
        <v>83</v>
      </c>
      <c r="I16" s="7" t="s">
        <v>61</v>
      </c>
      <c r="J16" s="7" t="s">
        <v>49</v>
      </c>
    </row>
    <row r="17" spans="1:10" x14ac:dyDescent="0.25">
      <c r="A17" s="8" t="s">
        <v>76</v>
      </c>
      <c r="B17" s="8" t="s">
        <v>42</v>
      </c>
      <c r="C17" s="8" t="s">
        <v>41</v>
      </c>
      <c r="D17" s="8" t="s">
        <v>42</v>
      </c>
      <c r="E17" s="8" t="s">
        <v>44</v>
      </c>
      <c r="F17" s="8" t="s">
        <v>45</v>
      </c>
      <c r="G17" s="8" t="s">
        <v>46</v>
      </c>
      <c r="H17" s="8" t="s">
        <v>77</v>
      </c>
      <c r="I17" s="8" t="s">
        <v>48</v>
      </c>
      <c r="J17" s="8" t="s">
        <v>63</v>
      </c>
    </row>
    <row r="18" spans="1:10" x14ac:dyDescent="0.25">
      <c r="A18" s="7" t="s">
        <v>76</v>
      </c>
      <c r="B18" s="7" t="s">
        <v>83</v>
      </c>
      <c r="C18" s="7" t="s">
        <v>43</v>
      </c>
      <c r="D18" s="7" t="s">
        <v>83</v>
      </c>
      <c r="E18" s="7" t="s">
        <v>44</v>
      </c>
      <c r="F18" s="7" t="s">
        <v>84</v>
      </c>
      <c r="G18" s="7" t="s">
        <v>101</v>
      </c>
      <c r="H18" s="7" t="s">
        <v>83</v>
      </c>
      <c r="I18" s="7" t="s">
        <v>42</v>
      </c>
      <c r="J18" s="7" t="s">
        <v>63</v>
      </c>
    </row>
    <row r="19" spans="1:10" x14ac:dyDescent="0.25">
      <c r="A19" s="8" t="s">
        <v>60</v>
      </c>
      <c r="B19" s="8" t="s">
        <v>61</v>
      </c>
      <c r="C19" s="8" t="s">
        <v>70</v>
      </c>
      <c r="D19" s="8" t="s">
        <v>61</v>
      </c>
      <c r="E19" s="8" t="s">
        <v>94</v>
      </c>
      <c r="F19" s="8" t="s">
        <v>84</v>
      </c>
      <c r="G19" s="8" t="s">
        <v>85</v>
      </c>
      <c r="H19" s="8" t="s">
        <v>88</v>
      </c>
      <c r="I19" s="8" t="s">
        <v>61</v>
      </c>
      <c r="J19" s="8" t="s">
        <v>92</v>
      </c>
    </row>
    <row r="20" spans="1:10" x14ac:dyDescent="0.25">
      <c r="A20" s="7" t="s">
        <v>41</v>
      </c>
      <c r="B20" s="7" t="s">
        <v>83</v>
      </c>
      <c r="C20" s="7" t="s">
        <v>43</v>
      </c>
      <c r="D20" s="7" t="s">
        <v>42</v>
      </c>
      <c r="E20" s="7" t="s">
        <v>44</v>
      </c>
      <c r="F20" s="7" t="s">
        <v>72</v>
      </c>
      <c r="G20" s="7" t="s">
        <v>73</v>
      </c>
      <c r="H20" s="7" t="s">
        <v>83</v>
      </c>
      <c r="I20" s="7" t="s">
        <v>42</v>
      </c>
      <c r="J20" s="7" t="s">
        <v>49</v>
      </c>
    </row>
    <row r="21" spans="1:10" x14ac:dyDescent="0.25">
      <c r="A21" s="8" t="s">
        <v>41</v>
      </c>
      <c r="B21" s="8" t="s">
        <v>42</v>
      </c>
      <c r="C21" s="8" t="s">
        <v>43</v>
      </c>
      <c r="D21" s="8" t="s">
        <v>83</v>
      </c>
      <c r="E21" s="8" t="s">
        <v>44</v>
      </c>
      <c r="F21" s="8" t="s">
        <v>98</v>
      </c>
      <c r="G21" s="8" t="s">
        <v>73</v>
      </c>
      <c r="H21" s="8" t="s">
        <v>88</v>
      </c>
      <c r="I21" s="8" t="s">
        <v>42</v>
      </c>
      <c r="J21" s="8" t="s">
        <v>92</v>
      </c>
    </row>
    <row r="22" spans="1:10" x14ac:dyDescent="0.25">
      <c r="A22" s="7" t="s">
        <v>41</v>
      </c>
      <c r="B22" s="7" t="s">
        <v>83</v>
      </c>
      <c r="C22" s="7" t="s">
        <v>43</v>
      </c>
      <c r="D22" s="7" t="s">
        <v>83</v>
      </c>
      <c r="E22" s="7" t="s">
        <v>62</v>
      </c>
      <c r="F22" s="7" t="s">
        <v>45</v>
      </c>
      <c r="G22" s="7" t="s">
        <v>101</v>
      </c>
      <c r="H22" s="7" t="s">
        <v>47</v>
      </c>
      <c r="I22" s="7" t="s">
        <v>48</v>
      </c>
      <c r="J22" s="7" t="s">
        <v>49</v>
      </c>
    </row>
    <row r="23" spans="1:10" x14ac:dyDescent="0.25">
      <c r="A23" s="8" t="s">
        <v>60</v>
      </c>
      <c r="B23" s="8" t="s">
        <v>42</v>
      </c>
      <c r="C23" s="8" t="s">
        <v>41</v>
      </c>
      <c r="D23" s="8" t="s">
        <v>61</v>
      </c>
      <c r="E23" s="8" t="s">
        <v>94</v>
      </c>
      <c r="F23" s="8" t="s">
        <v>72</v>
      </c>
      <c r="G23" s="8" t="s">
        <v>73</v>
      </c>
      <c r="H23" s="8" t="s">
        <v>83</v>
      </c>
      <c r="I23" s="8" t="s">
        <v>42</v>
      </c>
      <c r="J23" s="8" t="s">
        <v>92</v>
      </c>
    </row>
    <row r="24" spans="1:10" x14ac:dyDescent="0.25">
      <c r="A24" s="7" t="s">
        <v>60</v>
      </c>
      <c r="B24" s="7" t="s">
        <v>42</v>
      </c>
      <c r="C24" s="7" t="s">
        <v>70</v>
      </c>
      <c r="D24" s="7" t="s">
        <v>42</v>
      </c>
      <c r="E24" s="7" t="s">
        <v>44</v>
      </c>
      <c r="F24" s="7" t="s">
        <v>98</v>
      </c>
      <c r="G24" s="7" t="s">
        <v>46</v>
      </c>
      <c r="H24" s="7" t="s">
        <v>47</v>
      </c>
      <c r="I24" s="7" t="s">
        <v>48</v>
      </c>
      <c r="J24" s="7" t="s">
        <v>63</v>
      </c>
    </row>
    <row r="25" spans="1:10" x14ac:dyDescent="0.25">
      <c r="A25" s="8" t="s">
        <v>76</v>
      </c>
      <c r="B25" s="8" t="s">
        <v>47</v>
      </c>
      <c r="C25" s="8" t="s">
        <v>41</v>
      </c>
      <c r="D25" s="8" t="s">
        <v>42</v>
      </c>
      <c r="E25" s="8" t="s">
        <v>62</v>
      </c>
      <c r="F25" s="8" t="s">
        <v>98</v>
      </c>
      <c r="G25" s="8" t="s">
        <v>73</v>
      </c>
      <c r="H25" s="8" t="s">
        <v>47</v>
      </c>
      <c r="I25" s="8" t="s">
        <v>48</v>
      </c>
      <c r="J25" s="8" t="s">
        <v>49</v>
      </c>
    </row>
    <row r="26" spans="1:10" x14ac:dyDescent="0.25">
      <c r="A26" s="7" t="s">
        <v>76</v>
      </c>
      <c r="B26" s="7" t="s">
        <v>42</v>
      </c>
      <c r="C26" s="7" t="s">
        <v>43</v>
      </c>
      <c r="D26" s="7" t="s">
        <v>83</v>
      </c>
      <c r="E26" s="7" t="s">
        <v>62</v>
      </c>
      <c r="F26" s="7" t="s">
        <v>98</v>
      </c>
      <c r="G26" s="7" t="s">
        <v>101</v>
      </c>
      <c r="H26" s="7" t="s">
        <v>47</v>
      </c>
      <c r="I26" s="7" t="s">
        <v>42</v>
      </c>
      <c r="J26" s="7" t="s">
        <v>92</v>
      </c>
    </row>
    <row r="27" spans="1:10" x14ac:dyDescent="0.25">
      <c r="A27" s="8" t="s">
        <v>60</v>
      </c>
      <c r="B27" s="8" t="s">
        <v>83</v>
      </c>
      <c r="C27" s="8" t="s">
        <v>68</v>
      </c>
      <c r="D27" s="8" t="s">
        <v>83</v>
      </c>
      <c r="E27" s="8" t="s">
        <v>62</v>
      </c>
      <c r="F27" s="8" t="s">
        <v>72</v>
      </c>
      <c r="G27" s="8" t="s">
        <v>73</v>
      </c>
      <c r="H27" s="8" t="s">
        <v>77</v>
      </c>
      <c r="I27" s="8" t="s">
        <v>77</v>
      </c>
      <c r="J27" s="8" t="s">
        <v>89</v>
      </c>
    </row>
    <row r="28" spans="1:10" x14ac:dyDescent="0.25">
      <c r="A28" s="7" t="s">
        <v>60</v>
      </c>
      <c r="B28" s="7" t="s">
        <v>61</v>
      </c>
      <c r="C28" s="7" t="s">
        <v>43</v>
      </c>
      <c r="D28" s="7" t="s">
        <v>42</v>
      </c>
      <c r="E28" s="7" t="s">
        <v>62</v>
      </c>
      <c r="F28" s="7" t="s">
        <v>72</v>
      </c>
      <c r="G28" s="7" t="s">
        <v>73</v>
      </c>
      <c r="H28" s="7" t="s">
        <v>83</v>
      </c>
      <c r="I28" s="7" t="s">
        <v>61</v>
      </c>
      <c r="J28" s="7" t="s">
        <v>63</v>
      </c>
    </row>
    <row r="29" spans="1:10" x14ac:dyDescent="0.25">
      <c r="A29" s="8" t="s">
        <v>60</v>
      </c>
      <c r="B29" s="8" t="s">
        <v>61</v>
      </c>
      <c r="C29" s="8" t="s">
        <v>68</v>
      </c>
      <c r="D29" s="8" t="s">
        <v>83</v>
      </c>
      <c r="E29" s="8" t="s">
        <v>62</v>
      </c>
      <c r="F29" s="8" t="s">
        <v>72</v>
      </c>
      <c r="G29" s="8" t="s">
        <v>73</v>
      </c>
      <c r="H29" s="8" t="s">
        <v>77</v>
      </c>
      <c r="I29" s="8" t="s">
        <v>77</v>
      </c>
      <c r="J29" s="8" t="s">
        <v>63</v>
      </c>
    </row>
    <row r="30" spans="1:10" x14ac:dyDescent="0.25">
      <c r="A30" s="7" t="s">
        <v>82</v>
      </c>
      <c r="B30" s="7" t="s">
        <v>47</v>
      </c>
      <c r="C30" s="7" t="s">
        <v>68</v>
      </c>
      <c r="D30" s="7" t="s">
        <v>77</v>
      </c>
      <c r="E30" s="7" t="s">
        <v>62</v>
      </c>
      <c r="F30" s="7" t="s">
        <v>84</v>
      </c>
      <c r="G30" s="7" t="s">
        <v>101</v>
      </c>
      <c r="H30" s="7" t="s">
        <v>77</v>
      </c>
      <c r="I30" s="7" t="s">
        <v>48</v>
      </c>
      <c r="J30" s="7" t="s">
        <v>92</v>
      </c>
    </row>
    <row r="31" spans="1:10" x14ac:dyDescent="0.25">
      <c r="A31" s="8" t="s">
        <v>76</v>
      </c>
      <c r="B31" s="8" t="s">
        <v>42</v>
      </c>
      <c r="C31" s="8" t="s">
        <v>43</v>
      </c>
      <c r="D31" s="8" t="s">
        <v>42</v>
      </c>
      <c r="E31" s="8" t="s">
        <v>44</v>
      </c>
      <c r="F31" s="8" t="s">
        <v>45</v>
      </c>
      <c r="G31" s="8" t="s">
        <v>101</v>
      </c>
      <c r="H31" s="8" t="s">
        <v>47</v>
      </c>
      <c r="I31" s="8" t="s">
        <v>42</v>
      </c>
      <c r="J31" s="8" t="s">
        <v>63</v>
      </c>
    </row>
    <row r="32" spans="1:10" x14ac:dyDescent="0.25">
      <c r="A32" s="7" t="s">
        <v>76</v>
      </c>
      <c r="B32" s="7" t="s">
        <v>42</v>
      </c>
      <c r="C32" s="7" t="s">
        <v>41</v>
      </c>
      <c r="D32" s="7" t="s">
        <v>42</v>
      </c>
      <c r="E32" s="7" t="s">
        <v>62</v>
      </c>
      <c r="F32" s="7" t="s">
        <v>98</v>
      </c>
      <c r="G32" s="7" t="s">
        <v>101</v>
      </c>
      <c r="H32" s="7" t="s">
        <v>47</v>
      </c>
      <c r="I32" s="7" t="s">
        <v>48</v>
      </c>
      <c r="J32" s="7" t="s">
        <v>92</v>
      </c>
    </row>
    <row r="33" spans="1:10" x14ac:dyDescent="0.25">
      <c r="A33" s="8" t="s">
        <v>82</v>
      </c>
      <c r="B33" s="8" t="s">
        <v>42</v>
      </c>
      <c r="C33" s="8" t="s">
        <v>41</v>
      </c>
      <c r="D33" s="8" t="s">
        <v>83</v>
      </c>
      <c r="E33" s="8" t="s">
        <v>94</v>
      </c>
      <c r="F33" s="8" t="s">
        <v>84</v>
      </c>
      <c r="G33" s="8" t="s">
        <v>85</v>
      </c>
      <c r="H33" s="8" t="s">
        <v>88</v>
      </c>
      <c r="I33" s="8" t="s">
        <v>61</v>
      </c>
      <c r="J33" s="8" t="s">
        <v>92</v>
      </c>
    </row>
    <row r="34" spans="1:10" x14ac:dyDescent="0.25">
      <c r="A34" s="7" t="s">
        <v>41</v>
      </c>
      <c r="B34" s="7" t="s">
        <v>47</v>
      </c>
      <c r="C34" s="7" t="s">
        <v>43</v>
      </c>
      <c r="D34" s="7" t="s">
        <v>83</v>
      </c>
      <c r="E34" s="7" t="s">
        <v>44</v>
      </c>
      <c r="F34" s="7" t="s">
        <v>84</v>
      </c>
      <c r="G34" s="7" t="s">
        <v>101</v>
      </c>
      <c r="H34" s="7" t="s">
        <v>77</v>
      </c>
      <c r="I34" s="7" t="s">
        <v>77</v>
      </c>
      <c r="J34" s="7" t="s">
        <v>49</v>
      </c>
    </row>
    <row r="35" spans="1:10" x14ac:dyDescent="0.25">
      <c r="A35" s="8" t="s">
        <v>76</v>
      </c>
      <c r="B35" s="8" t="s">
        <v>42</v>
      </c>
      <c r="C35" s="8" t="s">
        <v>68</v>
      </c>
      <c r="D35" s="8" t="s">
        <v>61</v>
      </c>
      <c r="E35" s="8" t="s">
        <v>44</v>
      </c>
      <c r="F35" s="8" t="s">
        <v>84</v>
      </c>
      <c r="G35" s="8" t="s">
        <v>73</v>
      </c>
      <c r="H35" s="8" t="s">
        <v>88</v>
      </c>
      <c r="I35" s="8" t="s">
        <v>77</v>
      </c>
      <c r="J35" s="8" t="s">
        <v>63</v>
      </c>
    </row>
    <row r="36" spans="1:10" x14ac:dyDescent="0.25">
      <c r="A36" s="7" t="s">
        <v>41</v>
      </c>
      <c r="B36" s="7" t="s">
        <v>83</v>
      </c>
      <c r="C36" s="7" t="s">
        <v>68</v>
      </c>
      <c r="D36" s="7" t="s">
        <v>42</v>
      </c>
      <c r="E36" s="7" t="s">
        <v>44</v>
      </c>
      <c r="F36" s="7" t="s">
        <v>98</v>
      </c>
      <c r="G36" s="7" t="s">
        <v>101</v>
      </c>
      <c r="H36" s="7" t="s">
        <v>88</v>
      </c>
      <c r="I36" s="7" t="s">
        <v>42</v>
      </c>
      <c r="J36" s="7" t="s">
        <v>63</v>
      </c>
    </row>
    <row r="37" spans="1:10" x14ac:dyDescent="0.25">
      <c r="A37" s="8" t="s">
        <v>82</v>
      </c>
      <c r="B37" s="8" t="s">
        <v>47</v>
      </c>
      <c r="C37" s="8" t="s">
        <v>68</v>
      </c>
      <c r="D37" s="8" t="s">
        <v>77</v>
      </c>
      <c r="E37" s="8" t="s">
        <v>44</v>
      </c>
      <c r="F37" s="8" t="s">
        <v>84</v>
      </c>
      <c r="G37" s="8" t="s">
        <v>101</v>
      </c>
      <c r="H37" s="8" t="s">
        <v>88</v>
      </c>
      <c r="I37" s="8" t="s">
        <v>61</v>
      </c>
      <c r="J37" s="8" t="s">
        <v>92</v>
      </c>
    </row>
    <row r="38" spans="1:10" x14ac:dyDescent="0.25">
      <c r="A38" s="7" t="s">
        <v>41</v>
      </c>
      <c r="B38" s="7" t="s">
        <v>47</v>
      </c>
      <c r="C38" s="7" t="s">
        <v>70</v>
      </c>
      <c r="D38" s="7" t="s">
        <v>61</v>
      </c>
      <c r="E38" s="7" t="s">
        <v>94</v>
      </c>
      <c r="F38" s="7" t="s">
        <v>84</v>
      </c>
      <c r="G38" s="7" t="s">
        <v>85</v>
      </c>
      <c r="H38" s="7" t="s">
        <v>88</v>
      </c>
      <c r="I38" s="7" t="s">
        <v>61</v>
      </c>
      <c r="J38" s="7" t="s">
        <v>92</v>
      </c>
    </row>
    <row r="39" spans="1:10" x14ac:dyDescent="0.25">
      <c r="A39" s="8" t="s">
        <v>76</v>
      </c>
      <c r="B39" s="8" t="s">
        <v>83</v>
      </c>
      <c r="C39" s="8" t="s">
        <v>68</v>
      </c>
      <c r="D39" s="8" t="s">
        <v>83</v>
      </c>
      <c r="E39" s="8" t="s">
        <v>44</v>
      </c>
      <c r="F39" s="8" t="s">
        <v>72</v>
      </c>
      <c r="G39" s="8" t="s">
        <v>73</v>
      </c>
      <c r="H39" s="8" t="s">
        <v>47</v>
      </c>
      <c r="I39" s="8" t="s">
        <v>42</v>
      </c>
      <c r="J39" s="8" t="s">
        <v>92</v>
      </c>
    </row>
    <row r="40" spans="1:10" x14ac:dyDescent="0.25">
      <c r="A40" s="7" t="s">
        <v>60</v>
      </c>
      <c r="B40" s="7" t="s">
        <v>61</v>
      </c>
      <c r="C40" s="7" t="s">
        <v>70</v>
      </c>
      <c r="D40" s="7" t="s">
        <v>42</v>
      </c>
      <c r="E40" s="7" t="s">
        <v>71</v>
      </c>
      <c r="F40" s="7" t="s">
        <v>84</v>
      </c>
      <c r="G40" s="7" t="s">
        <v>85</v>
      </c>
      <c r="H40" s="7" t="s">
        <v>88</v>
      </c>
      <c r="I40" s="7" t="s">
        <v>61</v>
      </c>
      <c r="J40" s="7" t="s">
        <v>89</v>
      </c>
    </row>
    <row r="41" spans="1:10" x14ac:dyDescent="0.25">
      <c r="A41" s="8" t="s">
        <v>76</v>
      </c>
      <c r="B41" s="8" t="s">
        <v>42</v>
      </c>
      <c r="C41" s="8" t="s">
        <v>70</v>
      </c>
      <c r="D41" s="8" t="s">
        <v>61</v>
      </c>
      <c r="E41" s="8" t="s">
        <v>94</v>
      </c>
      <c r="F41" s="8" t="s">
        <v>72</v>
      </c>
      <c r="G41" s="8" t="s">
        <v>85</v>
      </c>
      <c r="H41" s="8" t="s">
        <v>88</v>
      </c>
      <c r="I41" s="8" t="s">
        <v>61</v>
      </c>
      <c r="J41" s="8" t="s">
        <v>92</v>
      </c>
    </row>
    <row r="42" spans="1:10" x14ac:dyDescent="0.25">
      <c r="A42" s="7" t="s">
        <v>41</v>
      </c>
      <c r="B42" s="7" t="s">
        <v>83</v>
      </c>
      <c r="C42" s="7" t="s">
        <v>43</v>
      </c>
      <c r="D42" s="7" t="s">
        <v>77</v>
      </c>
      <c r="E42" s="7" t="s">
        <v>44</v>
      </c>
      <c r="F42" s="7" t="s">
        <v>98</v>
      </c>
      <c r="G42" s="7" t="s">
        <v>73</v>
      </c>
      <c r="H42" s="7" t="s">
        <v>83</v>
      </c>
      <c r="I42" s="7" t="s">
        <v>48</v>
      </c>
      <c r="J42" s="7" t="s">
        <v>63</v>
      </c>
    </row>
    <row r="43" spans="1:10" x14ac:dyDescent="0.25">
      <c r="A43" s="8" t="s">
        <v>76</v>
      </c>
      <c r="B43" s="8" t="s">
        <v>83</v>
      </c>
      <c r="C43" s="8" t="s">
        <v>41</v>
      </c>
      <c r="D43" s="8" t="s">
        <v>42</v>
      </c>
      <c r="E43" s="8" t="s">
        <v>71</v>
      </c>
      <c r="F43" s="8" t="s">
        <v>72</v>
      </c>
      <c r="G43" s="8" t="s">
        <v>73</v>
      </c>
      <c r="H43" s="8" t="s">
        <v>83</v>
      </c>
      <c r="I43" s="8" t="s">
        <v>61</v>
      </c>
      <c r="J43" s="8" t="s">
        <v>49</v>
      </c>
    </row>
    <row r="44" spans="1:10" x14ac:dyDescent="0.25">
      <c r="A44" s="7" t="s">
        <v>76</v>
      </c>
      <c r="B44" s="7" t="s">
        <v>42</v>
      </c>
      <c r="C44" s="7" t="s">
        <v>70</v>
      </c>
      <c r="D44" s="7" t="s">
        <v>42</v>
      </c>
      <c r="E44" s="7" t="s">
        <v>44</v>
      </c>
      <c r="F44" s="7" t="s">
        <v>72</v>
      </c>
      <c r="G44" s="7" t="s">
        <v>73</v>
      </c>
      <c r="H44" s="7" t="s">
        <v>88</v>
      </c>
      <c r="I44" s="7" t="s">
        <v>48</v>
      </c>
      <c r="J44" s="7" t="s">
        <v>49</v>
      </c>
    </row>
    <row r="45" spans="1:10" x14ac:dyDescent="0.25">
      <c r="A45" s="8" t="s">
        <v>82</v>
      </c>
      <c r="B45" s="8" t="s">
        <v>61</v>
      </c>
      <c r="C45" s="8" t="s">
        <v>68</v>
      </c>
      <c r="D45" s="8" t="s">
        <v>61</v>
      </c>
      <c r="E45" s="8" t="s">
        <v>94</v>
      </c>
      <c r="F45" s="8" t="s">
        <v>72</v>
      </c>
      <c r="G45" s="8" t="s">
        <v>85</v>
      </c>
      <c r="H45" s="8" t="s">
        <v>47</v>
      </c>
      <c r="I45" s="8" t="s">
        <v>61</v>
      </c>
      <c r="J45" s="8" t="s">
        <v>92</v>
      </c>
    </row>
    <row r="46" spans="1:10" x14ac:dyDescent="0.25">
      <c r="A46" s="7" t="s">
        <v>76</v>
      </c>
      <c r="B46" s="7" t="s">
        <v>42</v>
      </c>
      <c r="C46" s="7" t="s">
        <v>43</v>
      </c>
      <c r="D46" s="7" t="s">
        <v>83</v>
      </c>
      <c r="E46" s="7" t="s">
        <v>44</v>
      </c>
      <c r="F46" s="7" t="s">
        <v>72</v>
      </c>
      <c r="G46" s="7" t="s">
        <v>73</v>
      </c>
      <c r="H46" s="7" t="s">
        <v>83</v>
      </c>
      <c r="I46" s="7" t="s">
        <v>42</v>
      </c>
      <c r="J46" s="7" t="s">
        <v>63</v>
      </c>
    </row>
    <row r="47" spans="1:10" x14ac:dyDescent="0.25">
      <c r="A47" s="8" t="s">
        <v>76</v>
      </c>
      <c r="B47" s="8" t="s">
        <v>83</v>
      </c>
      <c r="C47" s="8" t="s">
        <v>43</v>
      </c>
      <c r="D47" s="8" t="s">
        <v>61</v>
      </c>
      <c r="E47" s="8" t="s">
        <v>71</v>
      </c>
      <c r="F47" s="8" t="s">
        <v>98</v>
      </c>
      <c r="G47" s="8" t="s">
        <v>46</v>
      </c>
      <c r="H47" s="8" t="s">
        <v>47</v>
      </c>
      <c r="I47" s="8" t="s">
        <v>48</v>
      </c>
      <c r="J47" s="8" t="s">
        <v>49</v>
      </c>
    </row>
    <row r="48" spans="1:10" x14ac:dyDescent="0.25">
      <c r="A48" s="7" t="s">
        <v>60</v>
      </c>
      <c r="B48" s="7" t="s">
        <v>61</v>
      </c>
      <c r="C48" s="7" t="s">
        <v>70</v>
      </c>
      <c r="D48" s="7" t="s">
        <v>83</v>
      </c>
      <c r="E48" s="7" t="s">
        <v>94</v>
      </c>
      <c r="F48" s="7" t="s">
        <v>84</v>
      </c>
      <c r="G48" s="7" t="s">
        <v>73</v>
      </c>
      <c r="H48" s="7" t="s">
        <v>77</v>
      </c>
      <c r="I48" s="7" t="s">
        <v>61</v>
      </c>
      <c r="J48" s="7" t="s">
        <v>63</v>
      </c>
    </row>
    <row r="49" spans="1:10" x14ac:dyDescent="0.25">
      <c r="A49" s="8" t="s">
        <v>76</v>
      </c>
      <c r="B49" s="8" t="s">
        <v>83</v>
      </c>
      <c r="C49" s="8" t="s">
        <v>43</v>
      </c>
      <c r="D49" s="8" t="s">
        <v>77</v>
      </c>
      <c r="E49" s="8" t="s">
        <v>44</v>
      </c>
      <c r="F49" s="8" t="s">
        <v>72</v>
      </c>
      <c r="G49" s="8" t="s">
        <v>101</v>
      </c>
      <c r="H49" s="8" t="s">
        <v>83</v>
      </c>
      <c r="I49" s="8" t="s">
        <v>77</v>
      </c>
      <c r="J49" s="8" t="s">
        <v>49</v>
      </c>
    </row>
    <row r="50" spans="1:10" x14ac:dyDescent="0.25">
      <c r="A50" s="7" t="s">
        <v>82</v>
      </c>
      <c r="B50" s="7" t="s">
        <v>42</v>
      </c>
      <c r="C50" s="7" t="s">
        <v>68</v>
      </c>
      <c r="D50" s="7" t="s">
        <v>42</v>
      </c>
      <c r="E50" s="7" t="s">
        <v>44</v>
      </c>
      <c r="F50" s="7" t="s">
        <v>84</v>
      </c>
      <c r="G50" s="7" t="s">
        <v>46</v>
      </c>
      <c r="H50" s="7" t="s">
        <v>88</v>
      </c>
      <c r="I50" s="7" t="s">
        <v>42</v>
      </c>
      <c r="J50" s="7" t="s">
        <v>92</v>
      </c>
    </row>
    <row r="51" spans="1:10" x14ac:dyDescent="0.25">
      <c r="A51" s="40" t="s">
        <v>41</v>
      </c>
      <c r="B51" s="40" t="s">
        <v>83</v>
      </c>
      <c r="C51" s="40" t="s">
        <v>41</v>
      </c>
      <c r="D51" s="40" t="s">
        <v>83</v>
      </c>
      <c r="E51" s="40" t="s">
        <v>62</v>
      </c>
      <c r="F51" s="40" t="s">
        <v>98</v>
      </c>
      <c r="G51" s="40" t="s">
        <v>73</v>
      </c>
      <c r="H51" s="40" t="s">
        <v>83</v>
      </c>
      <c r="I51" s="40" t="s">
        <v>42</v>
      </c>
      <c r="J51" s="40" t="s">
        <v>49</v>
      </c>
    </row>
    <row r="52" spans="1:10" x14ac:dyDescent="0.25">
      <c r="A52" s="22"/>
      <c r="B52" s="22"/>
      <c r="C52" s="22"/>
      <c r="D52" s="22"/>
      <c r="E52" s="22"/>
      <c r="F52" s="22"/>
      <c r="G52" s="22"/>
      <c r="H52" s="22"/>
      <c r="I52" s="22"/>
      <c r="J52" s="22"/>
    </row>
    <row r="53" spans="1:10" x14ac:dyDescent="0.25">
      <c r="A53" s="27"/>
      <c r="B53" s="27"/>
      <c r="C53" s="27"/>
      <c r="D53" s="27"/>
      <c r="E53" s="27"/>
      <c r="F53" s="27"/>
      <c r="G53" s="27"/>
      <c r="H53" s="27"/>
      <c r="I53" s="27"/>
      <c r="J53" s="27"/>
    </row>
    <row r="54" spans="1:10" ht="24.6" x14ac:dyDescent="0.4">
      <c r="A54" s="25" t="s">
        <v>210</v>
      </c>
    </row>
    <row r="55" spans="1:10" ht="13.8" x14ac:dyDescent="0.25">
      <c r="A55" s="47" t="s">
        <v>198</v>
      </c>
      <c r="B55" s="47" t="s">
        <v>199</v>
      </c>
      <c r="C55" s="47" t="s">
        <v>200</v>
      </c>
      <c r="D55" s="47" t="s">
        <v>211</v>
      </c>
      <c r="E55" s="47" t="s">
        <v>212</v>
      </c>
      <c r="F55" s="47" t="s">
        <v>213</v>
      </c>
      <c r="G55" s="47" t="s">
        <v>214</v>
      </c>
      <c r="H55" s="47" t="s">
        <v>215</v>
      </c>
      <c r="I55" s="47" t="s">
        <v>216</v>
      </c>
      <c r="J55" s="47" t="s">
        <v>217</v>
      </c>
    </row>
    <row r="56" spans="1:10" x14ac:dyDescent="0.25">
      <c r="A56">
        <f>COUNTIF(A2:A51, "Low")</f>
        <v>8</v>
      </c>
      <c r="B56">
        <f>COUNTIF(B2:B51, "Rarely")</f>
        <v>7</v>
      </c>
      <c r="C56">
        <f>COUNTIF(C2:C51, "None")</f>
        <v>11</v>
      </c>
      <c r="D56">
        <f>COUNTIF(D2:D51, "Never")</f>
        <v>5</v>
      </c>
      <c r="E56">
        <f>COUNTIF(E2:E51, "Relieved")</f>
        <v>24</v>
      </c>
      <c r="F56">
        <f>COUNTIF(F2:F51, "Poorly")</f>
        <v>6</v>
      </c>
      <c r="G56">
        <f>COUNTIF(G2:G51, "Very Poor")</f>
        <v>7</v>
      </c>
      <c r="H56">
        <f>COUNTIF(H2:H51, "Never")</f>
        <v>8</v>
      </c>
      <c r="I56">
        <f>COUNTIF(I2:I51, "Never")</f>
        <v>7</v>
      </c>
      <c r="J56">
        <f>COUNTIF(J2:J51, "Not important")</f>
        <v>15</v>
      </c>
    </row>
    <row r="57" spans="1:10" x14ac:dyDescent="0.25">
      <c r="A57">
        <f>COUNTIF(A2:A51, "Moderate")</f>
        <v>12</v>
      </c>
      <c r="B57">
        <f>COUNTIF(B2:B51, "Often")</f>
        <v>16</v>
      </c>
      <c r="C57">
        <f>COUNTIF(C2:C51, "Mild")</f>
        <v>19</v>
      </c>
      <c r="D57">
        <f>COUNTIF(D2:D51, "Often")</f>
        <v>18</v>
      </c>
      <c r="E57">
        <f>COUNTIF(E2:E51, "Indifferent")</f>
        <v>11</v>
      </c>
      <c r="F57">
        <f>COUNTIF(F2:F51, "Fair")</f>
        <v>12</v>
      </c>
      <c r="G57">
        <f>COUNTIF(G2:G51, "Poor")</f>
        <v>11</v>
      </c>
      <c r="H57">
        <f>COUNTIF(H2:H51,"Rarely")</f>
        <v>17</v>
      </c>
      <c r="I57">
        <f>COUNTIF(I2:I51, "Often")</f>
        <v>18</v>
      </c>
      <c r="J57">
        <f>COUNTIF(J2:J51, "Somewhat important")</f>
        <v>14</v>
      </c>
    </row>
    <row r="58" spans="1:10" x14ac:dyDescent="0.25">
      <c r="A58">
        <f>COUNTIF(A2:A51, "High")</f>
        <v>17</v>
      </c>
      <c r="B58">
        <f>COUNTIF(B2:B51, "Sometimes")</f>
        <v>17</v>
      </c>
      <c r="C58">
        <f>COUNTIF(C2:C51, "Moderate")</f>
        <v>10</v>
      </c>
      <c r="D58">
        <f>COUNTIF(D2:D51, "Sometimes")</f>
        <v>19</v>
      </c>
      <c r="E58">
        <f>COUNTIF(E2:E51, "Still anxious")</f>
        <v>6</v>
      </c>
      <c r="F58">
        <f>COUNTIF(F2:F51, "Well")</f>
        <v>19</v>
      </c>
      <c r="G58">
        <f>COUNTIF(G2:G51, "Good")</f>
        <v>24</v>
      </c>
      <c r="H58">
        <f>COUNTIF(H2:H51, "Sometimes")</f>
        <v>12</v>
      </c>
      <c r="I58">
        <f>COUNTIF(I2:I51, "Occasionally")</f>
        <v>13</v>
      </c>
      <c r="J58">
        <f>COUNTIF(J2:J51, "Important")</f>
        <v>6</v>
      </c>
    </row>
    <row r="59" spans="1:10" x14ac:dyDescent="0.25">
      <c r="A59">
        <f>COUNTIF(A2:A51, "Extreme")</f>
        <v>13</v>
      </c>
      <c r="B59">
        <f>COUNTIF(B2:B51, "Always")</f>
        <v>10</v>
      </c>
      <c r="C59">
        <f>COUNTIF(C2:C51, "Severe")</f>
        <v>10</v>
      </c>
      <c r="D59">
        <f>COUNTIF(D2:D51, "Always")</f>
        <v>8</v>
      </c>
      <c r="E59">
        <f>COUNTIF(E2:E51, "Even more stressed")</f>
        <v>9</v>
      </c>
      <c r="F59">
        <f>COUNTIF(F2:F51, "Very Well")</f>
        <v>13</v>
      </c>
      <c r="G59">
        <f>COUNTIF(G2:G51, "Excellent")</f>
        <v>8</v>
      </c>
      <c r="H59">
        <f>COUNTIF(H2:H51, "Frequently")</f>
        <v>13</v>
      </c>
      <c r="I59">
        <f>COUNTIF(I2:I51, "Always")</f>
        <v>12</v>
      </c>
      <c r="J59">
        <f>COUNTIF(J2:J51, "Extremely important")</f>
        <v>15</v>
      </c>
    </row>
    <row r="61" spans="1:10" ht="24.6" x14ac:dyDescent="0.4">
      <c r="A61" s="25" t="s">
        <v>218</v>
      </c>
    </row>
    <row r="62" spans="1:10" ht="13.8" x14ac:dyDescent="0.25">
      <c r="A62" s="47" t="s">
        <v>219</v>
      </c>
      <c r="B62" s="47" t="s">
        <v>220</v>
      </c>
      <c r="C62" s="47" t="s">
        <v>223</v>
      </c>
      <c r="D62" s="47" t="s">
        <v>224</v>
      </c>
      <c r="E62" s="47" t="s">
        <v>225</v>
      </c>
      <c r="F62" s="47" t="s">
        <v>226</v>
      </c>
      <c r="G62" s="47" t="s">
        <v>227</v>
      </c>
      <c r="H62" s="47" t="s">
        <v>228</v>
      </c>
      <c r="I62" s="47" t="s">
        <v>229</v>
      </c>
      <c r="J62" s="47" t="s">
        <v>230</v>
      </c>
    </row>
    <row r="63" spans="1:10" x14ac:dyDescent="0.25">
      <c r="A63">
        <f>(COUNTIF(A2:A51, "Low") / COUNTA(A2:A51)) * 100</f>
        <v>16</v>
      </c>
      <c r="B63">
        <f>(COUNTIF(B2:B51, "Rarely") / COUNTA(B2:B51)) * 100</f>
        <v>14.000000000000002</v>
      </c>
      <c r="C63">
        <f>(COUNTIF(C2:C51, "None") / COUNTA(C2:C51)) * 100</f>
        <v>22</v>
      </c>
      <c r="D63">
        <f>(COUNTIF(D2:D51, "Never") / COUNTA(D2:D51)) * 100</f>
        <v>10</v>
      </c>
      <c r="E63">
        <f>(COUNTIF(E2:E51, "Relieved") / COUNTA(E2:E51)) * 100</f>
        <v>48</v>
      </c>
      <c r="F63">
        <f>(COUNTIF(F2:F51, "Poorly") / COUNTA(F2:F51)) * 100</f>
        <v>12</v>
      </c>
      <c r="G63">
        <f>(COUNTIF(G2:G51, "Very Poor") / COUNTA(G2:G51)) * 100</f>
        <v>14.000000000000002</v>
      </c>
      <c r="H63">
        <f>(COUNTIF(H2:H51, "Never") / COUNTA(H2:H51)) * 100</f>
        <v>16</v>
      </c>
      <c r="I63">
        <f>(COUNTIF(I2:I51, "Never") / COUNTA(I2:I51)) * 100</f>
        <v>14.000000000000002</v>
      </c>
      <c r="J63">
        <f>(COUNTIF(J2:J51, "Not important") / COUNTA(J2:J51)) * 100</f>
        <v>30</v>
      </c>
    </row>
    <row r="64" spans="1:10" x14ac:dyDescent="0.25">
      <c r="A64">
        <f>(COUNTIF(A2:A51, "Moderate") / COUNTA(A2:A51)) * 100</f>
        <v>24</v>
      </c>
      <c r="B64">
        <f>(COUNTIF(B2:B51, "Often") / COUNTA(B2:B51)) * 100</f>
        <v>32</v>
      </c>
      <c r="C64">
        <f>(COUNTIF(C2:C51, "Mild") / COUNTA(C2:C51)) * 100</f>
        <v>38</v>
      </c>
      <c r="D64">
        <f>(COUNTIF(D2:D51, "Often") / COUNTA(D2:D51)) * 100</f>
        <v>36</v>
      </c>
      <c r="E64">
        <f>(COUNTIF(E2:E51, "Indifferent") / COUNTA(E2:E51)) * 100</f>
        <v>22</v>
      </c>
      <c r="F64">
        <f>(COUNTIF(F2:F51, "Fair") / COUNTA(F2:F51)) * 100</f>
        <v>24</v>
      </c>
      <c r="G64">
        <f>(COUNTIF(G2:G51, "Poor") / COUNTA(G2:G51)) * 100</f>
        <v>22</v>
      </c>
      <c r="H64">
        <f>(COUNTIF(H2:H51, "Rarely") / COUNTA(H2:H51)) * 100</f>
        <v>34</v>
      </c>
      <c r="I64">
        <f>(COUNTIF(I2:I51, "Often") / COUNTA(I2:I51)) * 100</f>
        <v>36</v>
      </c>
      <c r="J64">
        <f>(COUNTIF(J2:J51, "Somewhat important") / COUNTA(J2:J51)) * 100</f>
        <v>28.000000000000004</v>
      </c>
    </row>
    <row r="65" spans="1:10" x14ac:dyDescent="0.25">
      <c r="A65">
        <f>(COUNTIF(A2:A51, "High") / COUNTA(A2:A51)) * 100</f>
        <v>34</v>
      </c>
      <c r="B65">
        <f>(COUNTIF(B2:B51, "Sometimes") / COUNTA(B2:B51)) * 100</f>
        <v>34</v>
      </c>
      <c r="C65">
        <f>(COUNTIF(C2:C51, "Moderate") / COUNTA(C2:C51)) * 100</f>
        <v>20</v>
      </c>
      <c r="D65">
        <f>(COUNTIF(D2:D51, "Sometimes") / COUNTA(D2:D51)) * 100</f>
        <v>38</v>
      </c>
      <c r="E65">
        <f>(COUNTIF(E2:E51, "Still anxious") / COUNTA(E2:E51)) * 100</f>
        <v>12</v>
      </c>
      <c r="F65">
        <f>(COUNTIF(F2:F51, "Well") / COUNTA(F2:F51)) * 100</f>
        <v>38</v>
      </c>
      <c r="G65">
        <f>(COUNTIF(G2:G51,"Good")/COUNTA(G2:G51)*100)</f>
        <v>48</v>
      </c>
      <c r="H65">
        <f>(COUNTIF(H2:H51, "Sometimes") / COUNTA(H2:H51)) * 100</f>
        <v>24</v>
      </c>
      <c r="I65">
        <f>(COUNTIF(I2:I51, "Occasionally") / COUNTA(I2:I51)) * 100</f>
        <v>26</v>
      </c>
      <c r="J65">
        <f>(COUNTIF(J2:J51, "Important") / COUNTA(J2:J51)) * 100</f>
        <v>12</v>
      </c>
    </row>
    <row r="66" spans="1:10" x14ac:dyDescent="0.25">
      <c r="A66">
        <f>(COUNTIF(A2:A51, "Extreme") / COUNTA(A2:A51)) * 100</f>
        <v>26</v>
      </c>
      <c r="B66">
        <f>(COUNTIF(B2:B51, "Always") / COUNTA(B2:B51)) * 100</f>
        <v>20</v>
      </c>
      <c r="C66">
        <f>(COUNTIF(C2:C51, "Severe") / COUNTA(C2:C51)) * 100</f>
        <v>20</v>
      </c>
      <c r="D66">
        <f>(COUNTIF(D2:D51, "Always") / COUNTA(D2:D51)) * 100</f>
        <v>16</v>
      </c>
      <c r="E66">
        <f>(COUNTIF(E2:E51,"Even more stressed")/COUNTA(E2:E51)*100)</f>
        <v>18</v>
      </c>
      <c r="F66">
        <f>(COUNTIF(F2:F51, "Very Well") / COUNTA(F2:F51)) * 100</f>
        <v>26</v>
      </c>
      <c r="G66">
        <f>(COUNTIF(G2:G51, "Excellent") / COUNTA(G2:G51)) * 100</f>
        <v>16</v>
      </c>
      <c r="H66">
        <f>(COUNTIF(H2:H51, "Frequently") / COUNTA(H2:H51)) * 100</f>
        <v>26</v>
      </c>
      <c r="I66">
        <f>(COUNTIF(I2:I51, "Always") / COUNTA(I2:I51)) * 100</f>
        <v>24</v>
      </c>
      <c r="J66">
        <f>(COUNTIF(J2:J51, "Extremely Important") / COUNTA(J2:J51)) * 100</f>
        <v>30</v>
      </c>
    </row>
    <row r="69" spans="1:10" ht="24.6" x14ac:dyDescent="0.4">
      <c r="A69" s="25" t="s">
        <v>270</v>
      </c>
    </row>
    <row r="70" spans="1:10" ht="13.8" x14ac:dyDescent="0.25">
      <c r="A70" s="48" t="s">
        <v>480</v>
      </c>
      <c r="B70" s="48" t="s">
        <v>481</v>
      </c>
      <c r="C70" s="48" t="s">
        <v>482</v>
      </c>
      <c r="D70" s="48" t="s">
        <v>480</v>
      </c>
      <c r="E70" s="48" t="s">
        <v>483</v>
      </c>
      <c r="F70" s="48" t="s">
        <v>484</v>
      </c>
      <c r="G70" s="48" t="s">
        <v>485</v>
      </c>
      <c r="H70" s="48" t="s">
        <v>486</v>
      </c>
      <c r="I70" s="48" t="s">
        <v>487</v>
      </c>
      <c r="J70" s="48" t="s">
        <v>488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9C825-83BC-44AD-922C-5382ED8A8467}">
  <dimension ref="A1:J62"/>
  <sheetViews>
    <sheetView zoomScaleNormal="100" workbookViewId="0">
      <selection activeCell="B70" sqref="B70"/>
    </sheetView>
  </sheetViews>
  <sheetFormatPr defaultRowHeight="13.2" x14ac:dyDescent="0.25"/>
  <cols>
    <col min="1" max="1" width="71.77734375" bestFit="1" customWidth="1"/>
    <col min="2" max="2" width="55" bestFit="1" customWidth="1"/>
    <col min="3" max="3" width="58.44140625" bestFit="1" customWidth="1"/>
    <col min="4" max="4" width="46.109375" bestFit="1" customWidth="1"/>
    <col min="5" max="5" width="46.5546875" bestFit="1" customWidth="1"/>
    <col min="6" max="6" width="41" bestFit="1" customWidth="1"/>
    <col min="7" max="7" width="44.109375" bestFit="1" customWidth="1"/>
    <col min="8" max="8" width="48.44140625" bestFit="1" customWidth="1"/>
    <col min="9" max="9" width="49.88671875" bestFit="1" customWidth="1"/>
    <col min="10" max="10" width="44.88671875" bestFit="1" customWidth="1"/>
  </cols>
  <sheetData>
    <row r="1" spans="1:3" x14ac:dyDescent="0.25">
      <c r="A1" s="17" t="s">
        <v>11</v>
      </c>
      <c r="B1" s="17" t="s">
        <v>12</v>
      </c>
      <c r="C1" s="17" t="s">
        <v>13</v>
      </c>
    </row>
    <row r="2" spans="1:3" x14ac:dyDescent="0.25">
      <c r="A2" s="29" t="s">
        <v>41</v>
      </c>
      <c r="B2" s="7" t="s">
        <v>42</v>
      </c>
      <c r="C2" s="7" t="s">
        <v>43</v>
      </c>
    </row>
    <row r="3" spans="1:3" x14ac:dyDescent="0.25">
      <c r="A3" s="8" t="s">
        <v>60</v>
      </c>
      <c r="B3" s="8" t="s">
        <v>61</v>
      </c>
      <c r="C3" s="8" t="s">
        <v>41</v>
      </c>
    </row>
    <row r="4" spans="1:3" x14ac:dyDescent="0.25">
      <c r="A4" s="7" t="s">
        <v>60</v>
      </c>
      <c r="B4" s="7" t="s">
        <v>61</v>
      </c>
      <c r="C4" s="7" t="s">
        <v>70</v>
      </c>
    </row>
    <row r="5" spans="1:3" x14ac:dyDescent="0.25">
      <c r="A5" s="8" t="s">
        <v>76</v>
      </c>
      <c r="B5" s="8" t="s">
        <v>42</v>
      </c>
      <c r="C5" s="8" t="s">
        <v>43</v>
      </c>
    </row>
    <row r="6" spans="1:3" x14ac:dyDescent="0.25">
      <c r="A6" s="7" t="s">
        <v>60</v>
      </c>
      <c r="B6" s="7" t="s">
        <v>61</v>
      </c>
      <c r="C6" s="7" t="s">
        <v>41</v>
      </c>
    </row>
    <row r="7" spans="1:3" x14ac:dyDescent="0.25">
      <c r="A7" s="8" t="s">
        <v>82</v>
      </c>
      <c r="B7" s="8" t="s">
        <v>47</v>
      </c>
      <c r="C7" s="8" t="s">
        <v>68</v>
      </c>
    </row>
    <row r="8" spans="1:3" x14ac:dyDescent="0.25">
      <c r="A8" s="7" t="s">
        <v>41</v>
      </c>
      <c r="B8" s="7" t="s">
        <v>83</v>
      </c>
      <c r="C8" s="7" t="s">
        <v>70</v>
      </c>
    </row>
    <row r="9" spans="1:3" x14ac:dyDescent="0.25">
      <c r="A9" s="8" t="s">
        <v>41</v>
      </c>
      <c r="B9" s="8" t="s">
        <v>83</v>
      </c>
      <c r="C9" s="8" t="s">
        <v>43</v>
      </c>
    </row>
    <row r="10" spans="1:3" x14ac:dyDescent="0.25">
      <c r="A10" s="7" t="s">
        <v>60</v>
      </c>
      <c r="B10" s="7" t="s">
        <v>61</v>
      </c>
      <c r="C10" s="7" t="s">
        <v>70</v>
      </c>
    </row>
    <row r="11" spans="1:3" x14ac:dyDescent="0.25">
      <c r="A11" s="8" t="s">
        <v>41</v>
      </c>
      <c r="B11" s="8" t="s">
        <v>83</v>
      </c>
      <c r="C11" s="8" t="s">
        <v>43</v>
      </c>
    </row>
    <row r="12" spans="1:3" x14ac:dyDescent="0.25">
      <c r="A12" s="7" t="s">
        <v>76</v>
      </c>
      <c r="B12" s="7" t="s">
        <v>83</v>
      </c>
      <c r="C12" s="7" t="s">
        <v>43</v>
      </c>
    </row>
    <row r="13" spans="1:3" x14ac:dyDescent="0.25">
      <c r="A13" s="8" t="s">
        <v>82</v>
      </c>
      <c r="B13" s="8" t="s">
        <v>47</v>
      </c>
      <c r="C13" s="8" t="s">
        <v>43</v>
      </c>
    </row>
    <row r="14" spans="1:3" x14ac:dyDescent="0.25">
      <c r="A14" s="7" t="s">
        <v>82</v>
      </c>
      <c r="B14" s="7" t="s">
        <v>83</v>
      </c>
      <c r="C14" s="7" t="s">
        <v>68</v>
      </c>
    </row>
    <row r="15" spans="1:3" x14ac:dyDescent="0.25">
      <c r="A15" s="8" t="s">
        <v>60</v>
      </c>
      <c r="B15" s="8" t="s">
        <v>42</v>
      </c>
      <c r="C15" s="8" t="s">
        <v>41</v>
      </c>
    </row>
    <row r="16" spans="1:3" x14ac:dyDescent="0.25">
      <c r="A16" s="7" t="s">
        <v>76</v>
      </c>
      <c r="B16" s="7" t="s">
        <v>83</v>
      </c>
      <c r="C16" s="7" t="s">
        <v>43</v>
      </c>
    </row>
    <row r="17" spans="1:3" x14ac:dyDescent="0.25">
      <c r="A17" s="8" t="s">
        <v>76</v>
      </c>
      <c r="B17" s="8" t="s">
        <v>42</v>
      </c>
      <c r="C17" s="8" t="s">
        <v>41</v>
      </c>
    </row>
    <row r="18" spans="1:3" x14ac:dyDescent="0.25">
      <c r="A18" s="7" t="s">
        <v>76</v>
      </c>
      <c r="B18" s="7" t="s">
        <v>83</v>
      </c>
      <c r="C18" s="7" t="s">
        <v>43</v>
      </c>
    </row>
    <row r="19" spans="1:3" x14ac:dyDescent="0.25">
      <c r="A19" s="8" t="s">
        <v>60</v>
      </c>
      <c r="B19" s="8" t="s">
        <v>61</v>
      </c>
      <c r="C19" s="8" t="s">
        <v>70</v>
      </c>
    </row>
    <row r="20" spans="1:3" x14ac:dyDescent="0.25">
      <c r="A20" s="7" t="s">
        <v>41</v>
      </c>
      <c r="B20" s="7" t="s">
        <v>83</v>
      </c>
      <c r="C20" s="7" t="s">
        <v>43</v>
      </c>
    </row>
    <row r="21" spans="1:3" x14ac:dyDescent="0.25">
      <c r="A21" s="8" t="s">
        <v>41</v>
      </c>
      <c r="B21" s="8" t="s">
        <v>42</v>
      </c>
      <c r="C21" s="8" t="s">
        <v>43</v>
      </c>
    </row>
    <row r="22" spans="1:3" x14ac:dyDescent="0.25">
      <c r="A22" s="7" t="s">
        <v>41</v>
      </c>
      <c r="B22" s="7" t="s">
        <v>83</v>
      </c>
      <c r="C22" s="7" t="s">
        <v>43</v>
      </c>
    </row>
    <row r="23" spans="1:3" x14ac:dyDescent="0.25">
      <c r="A23" s="8" t="s">
        <v>60</v>
      </c>
      <c r="B23" s="8" t="s">
        <v>42</v>
      </c>
      <c r="C23" s="8" t="s">
        <v>41</v>
      </c>
    </row>
    <row r="24" spans="1:3" x14ac:dyDescent="0.25">
      <c r="A24" s="7" t="s">
        <v>60</v>
      </c>
      <c r="B24" s="7" t="s">
        <v>42</v>
      </c>
      <c r="C24" s="7" t="s">
        <v>70</v>
      </c>
    </row>
    <row r="25" spans="1:3" x14ac:dyDescent="0.25">
      <c r="A25" s="8" t="s">
        <v>76</v>
      </c>
      <c r="B25" s="8" t="s">
        <v>47</v>
      </c>
      <c r="C25" s="8" t="s">
        <v>41</v>
      </c>
    </row>
    <row r="26" spans="1:3" x14ac:dyDescent="0.25">
      <c r="A26" s="7" t="s">
        <v>76</v>
      </c>
      <c r="B26" s="7" t="s">
        <v>42</v>
      </c>
      <c r="C26" s="7" t="s">
        <v>43</v>
      </c>
    </row>
    <row r="27" spans="1:3" x14ac:dyDescent="0.25">
      <c r="A27" s="8" t="s">
        <v>60</v>
      </c>
      <c r="B27" s="8" t="s">
        <v>83</v>
      </c>
      <c r="C27" s="8" t="s">
        <v>68</v>
      </c>
    </row>
    <row r="28" spans="1:3" x14ac:dyDescent="0.25">
      <c r="A28" s="7" t="s">
        <v>60</v>
      </c>
      <c r="B28" s="7" t="s">
        <v>61</v>
      </c>
      <c r="C28" s="7" t="s">
        <v>43</v>
      </c>
    </row>
    <row r="29" spans="1:3" x14ac:dyDescent="0.25">
      <c r="A29" s="8" t="s">
        <v>60</v>
      </c>
      <c r="B29" s="8" t="s">
        <v>61</v>
      </c>
      <c r="C29" s="8" t="s">
        <v>68</v>
      </c>
    </row>
    <row r="30" spans="1:3" x14ac:dyDescent="0.25">
      <c r="A30" s="7" t="s">
        <v>82</v>
      </c>
      <c r="B30" s="7" t="s">
        <v>47</v>
      </c>
      <c r="C30" s="7" t="s">
        <v>68</v>
      </c>
    </row>
    <row r="31" spans="1:3" x14ac:dyDescent="0.25">
      <c r="A31" s="8" t="s">
        <v>76</v>
      </c>
      <c r="B31" s="8" t="s">
        <v>42</v>
      </c>
      <c r="C31" s="8" t="s">
        <v>43</v>
      </c>
    </row>
    <row r="32" spans="1:3" x14ac:dyDescent="0.25">
      <c r="A32" s="7" t="s">
        <v>76</v>
      </c>
      <c r="B32" s="7" t="s">
        <v>42</v>
      </c>
      <c r="C32" s="7" t="s">
        <v>41</v>
      </c>
    </row>
    <row r="33" spans="1:3" x14ac:dyDescent="0.25">
      <c r="A33" s="8" t="s">
        <v>82</v>
      </c>
      <c r="B33" s="8" t="s">
        <v>42</v>
      </c>
      <c r="C33" s="8" t="s">
        <v>41</v>
      </c>
    </row>
    <row r="34" spans="1:3" x14ac:dyDescent="0.25">
      <c r="A34" s="7" t="s">
        <v>41</v>
      </c>
      <c r="B34" s="7" t="s">
        <v>47</v>
      </c>
      <c r="C34" s="7" t="s">
        <v>43</v>
      </c>
    </row>
    <row r="35" spans="1:3" x14ac:dyDescent="0.25">
      <c r="A35" s="8" t="s">
        <v>76</v>
      </c>
      <c r="B35" s="8" t="s">
        <v>42</v>
      </c>
      <c r="C35" s="8" t="s">
        <v>68</v>
      </c>
    </row>
    <row r="36" spans="1:3" x14ac:dyDescent="0.25">
      <c r="A36" s="7" t="s">
        <v>41</v>
      </c>
      <c r="B36" s="7" t="s">
        <v>83</v>
      </c>
      <c r="C36" s="7" t="s">
        <v>68</v>
      </c>
    </row>
    <row r="37" spans="1:3" x14ac:dyDescent="0.25">
      <c r="A37" s="8" t="s">
        <v>82</v>
      </c>
      <c r="B37" s="8" t="s">
        <v>47</v>
      </c>
      <c r="C37" s="8" t="s">
        <v>68</v>
      </c>
    </row>
    <row r="38" spans="1:3" x14ac:dyDescent="0.25">
      <c r="A38" s="7" t="s">
        <v>41</v>
      </c>
      <c r="B38" s="7" t="s">
        <v>47</v>
      </c>
      <c r="C38" s="7" t="s">
        <v>70</v>
      </c>
    </row>
    <row r="39" spans="1:3" x14ac:dyDescent="0.25">
      <c r="A39" s="8" t="s">
        <v>76</v>
      </c>
      <c r="B39" s="8" t="s">
        <v>83</v>
      </c>
      <c r="C39" s="8" t="s">
        <v>68</v>
      </c>
    </row>
    <row r="40" spans="1:3" x14ac:dyDescent="0.25">
      <c r="A40" s="7" t="s">
        <v>60</v>
      </c>
      <c r="B40" s="7" t="s">
        <v>61</v>
      </c>
      <c r="C40" s="7" t="s">
        <v>70</v>
      </c>
    </row>
    <row r="41" spans="1:3" x14ac:dyDescent="0.25">
      <c r="A41" s="8" t="s">
        <v>76</v>
      </c>
      <c r="B41" s="8" t="s">
        <v>42</v>
      </c>
      <c r="C41" s="8" t="s">
        <v>70</v>
      </c>
    </row>
    <row r="42" spans="1:3" x14ac:dyDescent="0.25">
      <c r="A42" s="7" t="s">
        <v>41</v>
      </c>
      <c r="B42" s="7" t="s">
        <v>83</v>
      </c>
      <c r="C42" s="7" t="s">
        <v>43</v>
      </c>
    </row>
    <row r="43" spans="1:3" x14ac:dyDescent="0.25">
      <c r="A43" s="8" t="s">
        <v>76</v>
      </c>
      <c r="B43" s="8" t="s">
        <v>83</v>
      </c>
      <c r="C43" s="8" t="s">
        <v>41</v>
      </c>
    </row>
    <row r="44" spans="1:3" x14ac:dyDescent="0.25">
      <c r="A44" s="7" t="s">
        <v>76</v>
      </c>
      <c r="B44" s="7" t="s">
        <v>42</v>
      </c>
      <c r="C44" s="7" t="s">
        <v>70</v>
      </c>
    </row>
    <row r="45" spans="1:3" x14ac:dyDescent="0.25">
      <c r="A45" s="8" t="s">
        <v>82</v>
      </c>
      <c r="B45" s="8" t="s">
        <v>61</v>
      </c>
      <c r="C45" s="8" t="s">
        <v>68</v>
      </c>
    </row>
    <row r="46" spans="1:3" x14ac:dyDescent="0.25">
      <c r="A46" s="7" t="s">
        <v>76</v>
      </c>
      <c r="B46" s="7" t="s">
        <v>42</v>
      </c>
      <c r="C46" s="7" t="s">
        <v>43</v>
      </c>
    </row>
    <row r="47" spans="1:3" x14ac:dyDescent="0.25">
      <c r="A47" s="8" t="s">
        <v>76</v>
      </c>
      <c r="B47" s="8" t="s">
        <v>83</v>
      </c>
      <c r="C47" s="8" t="s">
        <v>43</v>
      </c>
    </row>
    <row r="48" spans="1:3" x14ac:dyDescent="0.25">
      <c r="A48" s="7" t="s">
        <v>60</v>
      </c>
      <c r="B48" s="7" t="s">
        <v>61</v>
      </c>
      <c r="C48" s="7" t="s">
        <v>70</v>
      </c>
    </row>
    <row r="49" spans="1:10" x14ac:dyDescent="0.25">
      <c r="A49" s="8" t="s">
        <v>76</v>
      </c>
      <c r="B49" s="8" t="s">
        <v>83</v>
      </c>
      <c r="C49" s="8" t="s">
        <v>43</v>
      </c>
    </row>
    <row r="50" spans="1:10" x14ac:dyDescent="0.25">
      <c r="A50" s="7" t="s">
        <v>82</v>
      </c>
      <c r="B50" s="7" t="s">
        <v>42</v>
      </c>
      <c r="C50" s="7" t="s">
        <v>68</v>
      </c>
    </row>
    <row r="51" spans="1:10" x14ac:dyDescent="0.25">
      <c r="A51" s="40" t="s">
        <v>41</v>
      </c>
      <c r="B51" s="40" t="s">
        <v>83</v>
      </c>
      <c r="C51" s="40" t="s">
        <v>41</v>
      </c>
    </row>
    <row r="52" spans="1:10" ht="13.8" x14ac:dyDescent="0.25">
      <c r="A52" s="70"/>
      <c r="B52" s="70"/>
      <c r="C52" s="70"/>
      <c r="D52" s="70"/>
      <c r="E52" s="70"/>
      <c r="F52" s="70"/>
      <c r="G52" s="70"/>
      <c r="H52" s="70"/>
      <c r="I52" s="70"/>
      <c r="J52" s="70"/>
    </row>
    <row r="53" spans="1:10" ht="24.6" x14ac:dyDescent="0.4">
      <c r="A53" s="25" t="s">
        <v>489</v>
      </c>
    </row>
    <row r="55" spans="1:10" ht="14.4" thickBot="1" x14ac:dyDescent="0.3">
      <c r="A55" s="62" t="s">
        <v>477</v>
      </c>
      <c r="B55" s="63" t="s">
        <v>478</v>
      </c>
      <c r="C55" s="49"/>
      <c r="D55" s="49"/>
      <c r="E55" s="49"/>
      <c r="F55" s="50"/>
    </row>
    <row r="56" spans="1:10" ht="15" thickTop="1" thickBot="1" x14ac:dyDescent="0.3">
      <c r="A56" s="64" t="s">
        <v>479</v>
      </c>
      <c r="B56" s="65" t="s">
        <v>60</v>
      </c>
      <c r="C56" s="66" t="s">
        <v>76</v>
      </c>
      <c r="D56" s="67" t="s">
        <v>82</v>
      </c>
      <c r="E56" s="68" t="s">
        <v>41</v>
      </c>
      <c r="F56" s="69" t="s">
        <v>231</v>
      </c>
    </row>
    <row r="57" spans="1:10" ht="13.8" thickTop="1" x14ac:dyDescent="0.25">
      <c r="A57" s="51" t="s">
        <v>61</v>
      </c>
      <c r="B57" s="53">
        <v>9</v>
      </c>
      <c r="C57" s="54"/>
      <c r="D57" s="54">
        <v>1</v>
      </c>
      <c r="E57" s="54"/>
      <c r="F57" s="55">
        <v>10</v>
      </c>
    </row>
    <row r="58" spans="1:10" x14ac:dyDescent="0.25">
      <c r="A58" s="52" t="s">
        <v>42</v>
      </c>
      <c r="B58" s="56">
        <v>4</v>
      </c>
      <c r="C58" s="57">
        <v>9</v>
      </c>
      <c r="D58" s="57">
        <v>2</v>
      </c>
      <c r="E58" s="57">
        <v>2</v>
      </c>
      <c r="F58" s="58">
        <v>17</v>
      </c>
    </row>
    <row r="59" spans="1:10" x14ac:dyDescent="0.25">
      <c r="A59" s="52" t="s">
        <v>47</v>
      </c>
      <c r="B59" s="56"/>
      <c r="C59" s="57">
        <v>1</v>
      </c>
      <c r="D59" s="57">
        <v>4</v>
      </c>
      <c r="E59" s="57">
        <v>2</v>
      </c>
      <c r="F59" s="58">
        <v>7</v>
      </c>
    </row>
    <row r="60" spans="1:10" ht="13.8" thickBot="1" x14ac:dyDescent="0.3">
      <c r="A60" s="52" t="s">
        <v>83</v>
      </c>
      <c r="B60" s="56">
        <v>1</v>
      </c>
      <c r="C60" s="57">
        <v>7</v>
      </c>
      <c r="D60" s="57">
        <v>1</v>
      </c>
      <c r="E60" s="57">
        <v>7</v>
      </c>
      <c r="F60" s="58">
        <v>16</v>
      </c>
    </row>
    <row r="61" spans="1:10" ht="15" thickTop="1" thickBot="1" x14ac:dyDescent="0.3">
      <c r="A61" s="77" t="s">
        <v>231</v>
      </c>
      <c r="B61" s="59">
        <v>14</v>
      </c>
      <c r="C61" s="60">
        <v>17</v>
      </c>
      <c r="D61" s="60">
        <v>8</v>
      </c>
      <c r="E61" s="60">
        <v>11</v>
      </c>
      <c r="F61" s="61">
        <v>50</v>
      </c>
    </row>
    <row r="62" spans="1:10" ht="13.8" thickTop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87052-1827-409D-A09C-38D4758187A4}">
  <dimension ref="A1:J71"/>
  <sheetViews>
    <sheetView topLeftCell="B1" workbookViewId="0">
      <selection activeCell="B31" sqref="B31"/>
    </sheetView>
  </sheetViews>
  <sheetFormatPr defaultRowHeight="13.2" x14ac:dyDescent="0.25"/>
  <cols>
    <col min="1" max="1" width="90.109375" bestFit="1" customWidth="1"/>
    <col min="2" max="2" width="76" bestFit="1" customWidth="1"/>
    <col min="3" max="3" width="59" bestFit="1" customWidth="1"/>
    <col min="4" max="4" width="71.33203125" bestFit="1" customWidth="1"/>
    <col min="5" max="5" width="113.44140625" bestFit="1" customWidth="1"/>
    <col min="6" max="6" width="100.6640625" bestFit="1" customWidth="1"/>
    <col min="7" max="7" width="105.77734375" bestFit="1" customWidth="1"/>
    <col min="8" max="8" width="119.109375" bestFit="1" customWidth="1"/>
    <col min="9" max="9" width="142.88671875" bestFit="1" customWidth="1"/>
    <col min="10" max="10" width="110" bestFit="1" customWidth="1"/>
  </cols>
  <sheetData>
    <row r="1" spans="1:10" x14ac:dyDescent="0.25">
      <c r="A1" s="31" t="s">
        <v>21</v>
      </c>
      <c r="B1" s="31" t="s">
        <v>22</v>
      </c>
      <c r="C1" s="31" t="s">
        <v>23</v>
      </c>
      <c r="D1" s="31" t="s">
        <v>24</v>
      </c>
      <c r="E1" s="31" t="s">
        <v>25</v>
      </c>
      <c r="F1" s="31" t="s">
        <v>26</v>
      </c>
      <c r="G1" s="31" t="s">
        <v>27</v>
      </c>
      <c r="H1" s="31" t="s">
        <v>28</v>
      </c>
      <c r="I1" s="31" t="s">
        <v>29</v>
      </c>
      <c r="J1" s="31" t="s">
        <v>30</v>
      </c>
    </row>
    <row r="2" spans="1:10" x14ac:dyDescent="0.25">
      <c r="A2" s="29" t="s">
        <v>50</v>
      </c>
      <c r="B2" s="29" t="s">
        <v>51</v>
      </c>
      <c r="C2" s="29" t="s">
        <v>52</v>
      </c>
      <c r="D2" s="29" t="s">
        <v>53</v>
      </c>
      <c r="E2" s="29" t="s">
        <v>54</v>
      </c>
      <c r="F2" s="29" t="s">
        <v>55</v>
      </c>
      <c r="G2" s="29" t="s">
        <v>56</v>
      </c>
      <c r="H2" s="8" t="s">
        <v>57</v>
      </c>
      <c r="I2" s="29" t="s">
        <v>58</v>
      </c>
      <c r="J2" s="29" t="s">
        <v>59</v>
      </c>
    </row>
    <row r="3" spans="1:10" x14ac:dyDescent="0.25">
      <c r="A3" s="32" t="s">
        <v>64</v>
      </c>
      <c r="B3" s="32" t="s">
        <v>51</v>
      </c>
      <c r="C3" s="32" t="s">
        <v>52</v>
      </c>
      <c r="D3" s="32" t="s">
        <v>53</v>
      </c>
      <c r="E3" s="32" t="s">
        <v>65</v>
      </c>
      <c r="F3" s="32" t="s">
        <v>66</v>
      </c>
      <c r="G3" s="32" t="s">
        <v>67</v>
      </c>
      <c r="H3" s="7" t="s">
        <v>68</v>
      </c>
      <c r="I3" s="32" t="s">
        <v>69</v>
      </c>
      <c r="J3" s="32" t="s">
        <v>59</v>
      </c>
    </row>
    <row r="4" spans="1:10" x14ac:dyDescent="0.25">
      <c r="A4" s="29" t="s">
        <v>74</v>
      </c>
      <c r="B4" s="29" t="s">
        <v>51</v>
      </c>
      <c r="C4" s="29" t="s">
        <v>75</v>
      </c>
      <c r="D4" s="29" t="s">
        <v>53</v>
      </c>
      <c r="E4" s="29" t="s">
        <v>68</v>
      </c>
      <c r="F4" s="29" t="s">
        <v>66</v>
      </c>
      <c r="G4" s="29" t="s">
        <v>56</v>
      </c>
      <c r="H4" s="8" t="s">
        <v>95</v>
      </c>
      <c r="I4" s="29" t="s">
        <v>69</v>
      </c>
      <c r="J4" s="29" t="s">
        <v>68</v>
      </c>
    </row>
    <row r="5" spans="1:10" x14ac:dyDescent="0.25">
      <c r="A5" s="32" t="s">
        <v>74</v>
      </c>
      <c r="B5" s="32" t="s">
        <v>51</v>
      </c>
      <c r="C5" s="32" t="s">
        <v>52</v>
      </c>
      <c r="D5" s="32" t="s">
        <v>53</v>
      </c>
      <c r="E5" s="32" t="s">
        <v>65</v>
      </c>
      <c r="F5" s="32" t="s">
        <v>55</v>
      </c>
      <c r="G5" s="32" t="s">
        <v>67</v>
      </c>
      <c r="H5" s="7" t="s">
        <v>95</v>
      </c>
      <c r="I5" s="32" t="s">
        <v>58</v>
      </c>
      <c r="J5" s="32" t="s">
        <v>59</v>
      </c>
    </row>
    <row r="6" spans="1:10" x14ac:dyDescent="0.25">
      <c r="A6" s="29" t="s">
        <v>78</v>
      </c>
      <c r="B6" s="29" t="s">
        <v>79</v>
      </c>
      <c r="C6" s="29" t="s">
        <v>52</v>
      </c>
      <c r="D6" s="29" t="s">
        <v>53</v>
      </c>
      <c r="E6" s="29" t="s">
        <v>65</v>
      </c>
      <c r="F6" s="29" t="s">
        <v>80</v>
      </c>
      <c r="G6" s="29" t="s">
        <v>56</v>
      </c>
      <c r="H6" s="8" t="s">
        <v>68</v>
      </c>
      <c r="I6" s="29" t="s">
        <v>81</v>
      </c>
      <c r="J6" s="29" t="s">
        <v>59</v>
      </c>
    </row>
    <row r="7" spans="1:10" x14ac:dyDescent="0.25">
      <c r="A7" s="32" t="s">
        <v>74</v>
      </c>
      <c r="B7" s="32" t="s">
        <v>51</v>
      </c>
      <c r="C7" s="32" t="s">
        <v>75</v>
      </c>
      <c r="D7" s="32" t="s">
        <v>53</v>
      </c>
      <c r="E7" s="32" t="s">
        <v>86</v>
      </c>
      <c r="F7" s="32" t="s">
        <v>80</v>
      </c>
      <c r="G7" s="32" t="s">
        <v>87</v>
      </c>
      <c r="H7" s="7" t="s">
        <v>68</v>
      </c>
      <c r="I7" s="32" t="s">
        <v>69</v>
      </c>
      <c r="J7" s="32" t="s">
        <v>68</v>
      </c>
    </row>
    <row r="8" spans="1:10" x14ac:dyDescent="0.25">
      <c r="A8" s="29" t="s">
        <v>74</v>
      </c>
      <c r="B8" s="29" t="s">
        <v>90</v>
      </c>
      <c r="C8" s="29" t="s">
        <v>52</v>
      </c>
      <c r="D8" s="29" t="s">
        <v>91</v>
      </c>
      <c r="E8" s="29" t="s">
        <v>65</v>
      </c>
      <c r="F8" s="29" t="s">
        <v>66</v>
      </c>
      <c r="G8" s="29" t="s">
        <v>87</v>
      </c>
      <c r="H8" s="8" t="s">
        <v>68</v>
      </c>
      <c r="I8" s="29" t="s">
        <v>58</v>
      </c>
      <c r="J8" s="29" t="s">
        <v>59</v>
      </c>
    </row>
    <row r="9" spans="1:10" x14ac:dyDescent="0.25">
      <c r="A9" s="32" t="s">
        <v>74</v>
      </c>
      <c r="B9" s="32" t="s">
        <v>51</v>
      </c>
      <c r="C9" s="32" t="s">
        <v>52</v>
      </c>
      <c r="D9" s="32" t="s">
        <v>53</v>
      </c>
      <c r="E9" s="32" t="s">
        <v>65</v>
      </c>
      <c r="F9" s="32" t="s">
        <v>55</v>
      </c>
      <c r="G9" s="32" t="s">
        <v>56</v>
      </c>
      <c r="H9" s="7" t="s">
        <v>68</v>
      </c>
      <c r="I9" s="32" t="s">
        <v>58</v>
      </c>
      <c r="J9" s="32" t="s">
        <v>93</v>
      </c>
    </row>
    <row r="10" spans="1:10" x14ac:dyDescent="0.25">
      <c r="A10" s="29" t="s">
        <v>78</v>
      </c>
      <c r="B10" s="29" t="s">
        <v>90</v>
      </c>
      <c r="C10" s="29" t="s">
        <v>75</v>
      </c>
      <c r="D10" s="29" t="s">
        <v>53</v>
      </c>
      <c r="E10" s="29" t="s">
        <v>65</v>
      </c>
      <c r="F10" s="29" t="s">
        <v>55</v>
      </c>
      <c r="G10" s="29" t="s">
        <v>56</v>
      </c>
      <c r="H10" s="8" t="s">
        <v>57</v>
      </c>
      <c r="I10" s="29" t="s">
        <v>96</v>
      </c>
      <c r="J10" s="29" t="s">
        <v>97</v>
      </c>
    </row>
    <row r="11" spans="1:10" x14ac:dyDescent="0.25">
      <c r="A11" s="32" t="s">
        <v>50</v>
      </c>
      <c r="B11" s="32" t="s">
        <v>79</v>
      </c>
      <c r="C11" s="32" t="s">
        <v>75</v>
      </c>
      <c r="D11" s="32" t="s">
        <v>91</v>
      </c>
      <c r="E11" s="32" t="s">
        <v>86</v>
      </c>
      <c r="F11" s="32" t="s">
        <v>99</v>
      </c>
      <c r="G11" s="32" t="s">
        <v>56</v>
      </c>
      <c r="H11" s="7" t="s">
        <v>68</v>
      </c>
      <c r="I11" s="32" t="s">
        <v>58</v>
      </c>
      <c r="J11" s="32" t="s">
        <v>59</v>
      </c>
    </row>
    <row r="12" spans="1:10" x14ac:dyDescent="0.25">
      <c r="A12" s="29" t="s">
        <v>74</v>
      </c>
      <c r="B12" s="29" t="s">
        <v>90</v>
      </c>
      <c r="C12" s="29" t="s">
        <v>75</v>
      </c>
      <c r="D12" s="29" t="s">
        <v>53</v>
      </c>
      <c r="E12" s="29" t="s">
        <v>86</v>
      </c>
      <c r="F12" s="29" t="s">
        <v>80</v>
      </c>
      <c r="G12" s="29" t="s">
        <v>67</v>
      </c>
      <c r="H12" s="8" t="s">
        <v>68</v>
      </c>
      <c r="I12" s="29" t="s">
        <v>69</v>
      </c>
      <c r="J12" s="29" t="s">
        <v>59</v>
      </c>
    </row>
    <row r="13" spans="1:10" x14ac:dyDescent="0.25">
      <c r="A13" s="32" t="s">
        <v>50</v>
      </c>
      <c r="B13" s="32" t="s">
        <v>90</v>
      </c>
      <c r="C13" s="32" t="s">
        <v>75</v>
      </c>
      <c r="D13" s="32" t="s">
        <v>53</v>
      </c>
      <c r="E13" s="32" t="s">
        <v>54</v>
      </c>
      <c r="F13" s="32" t="s">
        <v>55</v>
      </c>
      <c r="G13" s="32" t="s">
        <v>56</v>
      </c>
      <c r="H13" s="7" t="s">
        <v>68</v>
      </c>
      <c r="I13" s="32" t="s">
        <v>58</v>
      </c>
      <c r="J13" s="32" t="s">
        <v>59</v>
      </c>
    </row>
    <row r="14" spans="1:10" x14ac:dyDescent="0.25">
      <c r="A14" s="29" t="s">
        <v>78</v>
      </c>
      <c r="B14" s="29" t="s">
        <v>51</v>
      </c>
      <c r="C14" s="29" t="s">
        <v>52</v>
      </c>
      <c r="D14" s="29" t="s">
        <v>91</v>
      </c>
      <c r="E14" s="29" t="s">
        <v>86</v>
      </c>
      <c r="F14" s="29" t="s">
        <v>55</v>
      </c>
      <c r="G14" s="29" t="s">
        <v>87</v>
      </c>
      <c r="H14" s="8" t="s">
        <v>100</v>
      </c>
      <c r="I14" s="29" t="s">
        <v>96</v>
      </c>
      <c r="J14" s="29" t="s">
        <v>97</v>
      </c>
    </row>
    <row r="15" spans="1:10" x14ac:dyDescent="0.25">
      <c r="A15" s="32" t="s">
        <v>78</v>
      </c>
      <c r="B15" s="32" t="s">
        <v>51</v>
      </c>
      <c r="C15" s="32" t="s">
        <v>75</v>
      </c>
      <c r="D15" s="32" t="s">
        <v>53</v>
      </c>
      <c r="E15" s="32" t="s">
        <v>86</v>
      </c>
      <c r="F15" s="32" t="s">
        <v>66</v>
      </c>
      <c r="G15" s="32" t="s">
        <v>56</v>
      </c>
      <c r="H15" s="7" t="s">
        <v>57</v>
      </c>
      <c r="I15" s="32" t="s">
        <v>96</v>
      </c>
      <c r="J15" s="32" t="s">
        <v>59</v>
      </c>
    </row>
    <row r="16" spans="1:10" x14ac:dyDescent="0.25">
      <c r="A16" s="29" t="s">
        <v>50</v>
      </c>
      <c r="B16" s="29" t="s">
        <v>79</v>
      </c>
      <c r="C16" s="29" t="s">
        <v>75</v>
      </c>
      <c r="D16" s="29" t="s">
        <v>91</v>
      </c>
      <c r="E16" s="29" t="s">
        <v>65</v>
      </c>
      <c r="F16" s="29" t="s">
        <v>80</v>
      </c>
      <c r="G16" s="29" t="s">
        <v>87</v>
      </c>
      <c r="H16" s="8" t="s">
        <v>95</v>
      </c>
      <c r="I16" s="29" t="s">
        <v>69</v>
      </c>
      <c r="J16" s="29" t="s">
        <v>59</v>
      </c>
    </row>
    <row r="17" spans="1:10" x14ac:dyDescent="0.25">
      <c r="A17" s="32" t="s">
        <v>50</v>
      </c>
      <c r="B17" s="32" t="s">
        <v>90</v>
      </c>
      <c r="C17" s="32" t="s">
        <v>75</v>
      </c>
      <c r="D17" s="32" t="s">
        <v>91</v>
      </c>
      <c r="E17" s="32" t="s">
        <v>86</v>
      </c>
      <c r="F17" s="32" t="s">
        <v>55</v>
      </c>
      <c r="G17" s="32" t="s">
        <v>67</v>
      </c>
      <c r="H17" s="7" t="s">
        <v>100</v>
      </c>
      <c r="I17" s="32" t="s">
        <v>81</v>
      </c>
      <c r="J17" s="32" t="s">
        <v>59</v>
      </c>
    </row>
    <row r="18" spans="1:10" x14ac:dyDescent="0.25">
      <c r="A18" s="29" t="s">
        <v>64</v>
      </c>
      <c r="B18" s="29" t="s">
        <v>51</v>
      </c>
      <c r="C18" s="29" t="s">
        <v>75</v>
      </c>
      <c r="D18" s="29" t="s">
        <v>91</v>
      </c>
      <c r="E18" s="29" t="s">
        <v>54</v>
      </c>
      <c r="F18" s="29" t="s">
        <v>80</v>
      </c>
      <c r="G18" s="29" t="s">
        <v>67</v>
      </c>
      <c r="H18" s="8" t="s">
        <v>68</v>
      </c>
      <c r="I18" s="29" t="s">
        <v>81</v>
      </c>
      <c r="J18" s="29" t="s">
        <v>97</v>
      </c>
    </row>
    <row r="19" spans="1:10" x14ac:dyDescent="0.25">
      <c r="A19" s="32" t="s">
        <v>50</v>
      </c>
      <c r="B19" s="32" t="s">
        <v>79</v>
      </c>
      <c r="C19" s="32" t="s">
        <v>52</v>
      </c>
      <c r="D19" s="32" t="s">
        <v>53</v>
      </c>
      <c r="E19" s="32" t="s">
        <v>86</v>
      </c>
      <c r="F19" s="32" t="s">
        <v>55</v>
      </c>
      <c r="G19" s="32" t="s">
        <v>67</v>
      </c>
      <c r="H19" s="7" t="s">
        <v>68</v>
      </c>
      <c r="I19" s="32" t="s">
        <v>58</v>
      </c>
      <c r="J19" s="32" t="s">
        <v>93</v>
      </c>
    </row>
    <row r="20" spans="1:10" x14ac:dyDescent="0.25">
      <c r="A20" s="29" t="s">
        <v>50</v>
      </c>
      <c r="B20" s="29" t="s">
        <v>79</v>
      </c>
      <c r="C20" s="29" t="s">
        <v>75</v>
      </c>
      <c r="D20" s="29" t="s">
        <v>91</v>
      </c>
      <c r="E20" s="29" t="s">
        <v>86</v>
      </c>
      <c r="F20" s="29" t="s">
        <v>99</v>
      </c>
      <c r="G20" s="29" t="s">
        <v>56</v>
      </c>
      <c r="H20" s="8" t="s">
        <v>100</v>
      </c>
      <c r="I20" s="29" t="s">
        <v>81</v>
      </c>
      <c r="J20" s="29" t="s">
        <v>97</v>
      </c>
    </row>
    <row r="21" spans="1:10" x14ac:dyDescent="0.25">
      <c r="A21" s="32" t="s">
        <v>50</v>
      </c>
      <c r="B21" s="32" t="s">
        <v>90</v>
      </c>
      <c r="C21" s="32" t="s">
        <v>75</v>
      </c>
      <c r="D21" s="32" t="s">
        <v>91</v>
      </c>
      <c r="E21" s="32" t="s">
        <v>65</v>
      </c>
      <c r="F21" s="32" t="s">
        <v>80</v>
      </c>
      <c r="G21" s="32" t="s">
        <v>102</v>
      </c>
      <c r="H21" s="7" t="s">
        <v>68</v>
      </c>
      <c r="I21" s="32" t="s">
        <v>81</v>
      </c>
      <c r="J21" s="32" t="s">
        <v>59</v>
      </c>
    </row>
    <row r="22" spans="1:10" x14ac:dyDescent="0.25">
      <c r="A22" s="29" t="s">
        <v>50</v>
      </c>
      <c r="B22" s="29" t="s">
        <v>51</v>
      </c>
      <c r="C22" s="29" t="s">
        <v>75</v>
      </c>
      <c r="D22" s="29" t="s">
        <v>91</v>
      </c>
      <c r="E22" s="29" t="s">
        <v>65</v>
      </c>
      <c r="F22" s="29" t="s">
        <v>55</v>
      </c>
      <c r="G22" s="29" t="s">
        <v>56</v>
      </c>
      <c r="H22" s="8" t="s">
        <v>100</v>
      </c>
      <c r="I22" s="29" t="s">
        <v>58</v>
      </c>
      <c r="J22" s="29" t="s">
        <v>93</v>
      </c>
    </row>
    <row r="23" spans="1:10" x14ac:dyDescent="0.25">
      <c r="A23" s="32" t="s">
        <v>50</v>
      </c>
      <c r="B23" s="32" t="s">
        <v>90</v>
      </c>
      <c r="C23" s="32" t="s">
        <v>75</v>
      </c>
      <c r="D23" s="32" t="s">
        <v>53</v>
      </c>
      <c r="E23" s="32" t="s">
        <v>86</v>
      </c>
      <c r="F23" s="32" t="s">
        <v>99</v>
      </c>
      <c r="G23" s="32" t="s">
        <v>56</v>
      </c>
      <c r="H23" s="7" t="s">
        <v>57</v>
      </c>
      <c r="I23" s="32" t="s">
        <v>58</v>
      </c>
      <c r="J23" s="32" t="s">
        <v>68</v>
      </c>
    </row>
    <row r="24" spans="1:10" x14ac:dyDescent="0.25">
      <c r="A24" s="29" t="s">
        <v>50</v>
      </c>
      <c r="B24" s="29" t="s">
        <v>79</v>
      </c>
      <c r="C24" s="29" t="s">
        <v>75</v>
      </c>
      <c r="D24" s="29" t="s">
        <v>91</v>
      </c>
      <c r="E24" s="29" t="s">
        <v>65</v>
      </c>
      <c r="F24" s="29" t="s">
        <v>99</v>
      </c>
      <c r="G24" s="29" t="s">
        <v>67</v>
      </c>
      <c r="H24" s="8" t="s">
        <v>57</v>
      </c>
      <c r="I24" s="29" t="s">
        <v>58</v>
      </c>
      <c r="J24" s="29" t="s">
        <v>68</v>
      </c>
    </row>
    <row r="25" spans="1:10" x14ac:dyDescent="0.25">
      <c r="A25" s="32" t="s">
        <v>78</v>
      </c>
      <c r="B25" s="32" t="s">
        <v>79</v>
      </c>
      <c r="C25" s="32" t="s">
        <v>52</v>
      </c>
      <c r="D25" s="32" t="s">
        <v>53</v>
      </c>
      <c r="E25" s="32" t="s">
        <v>65</v>
      </c>
      <c r="F25" s="32" t="s">
        <v>55</v>
      </c>
      <c r="G25" s="32" t="s">
        <v>56</v>
      </c>
      <c r="H25" s="7" t="s">
        <v>57</v>
      </c>
      <c r="I25" s="32" t="s">
        <v>58</v>
      </c>
      <c r="J25" s="32" t="s">
        <v>59</v>
      </c>
    </row>
    <row r="26" spans="1:10" x14ac:dyDescent="0.25">
      <c r="A26" s="29" t="s">
        <v>74</v>
      </c>
      <c r="B26" s="29" t="s">
        <v>51</v>
      </c>
      <c r="C26" s="29" t="s">
        <v>75</v>
      </c>
      <c r="D26" s="29" t="s">
        <v>53</v>
      </c>
      <c r="E26" s="29" t="s">
        <v>86</v>
      </c>
      <c r="F26" s="29" t="s">
        <v>99</v>
      </c>
      <c r="G26" s="29" t="s">
        <v>56</v>
      </c>
      <c r="H26" s="8" t="s">
        <v>95</v>
      </c>
      <c r="I26" s="29" t="s">
        <v>58</v>
      </c>
      <c r="J26" s="29" t="s">
        <v>59</v>
      </c>
    </row>
    <row r="27" spans="1:10" x14ac:dyDescent="0.25">
      <c r="A27" s="32" t="s">
        <v>74</v>
      </c>
      <c r="B27" s="32" t="s">
        <v>90</v>
      </c>
      <c r="C27" s="32" t="s">
        <v>75</v>
      </c>
      <c r="D27" s="32" t="s">
        <v>53</v>
      </c>
      <c r="E27" s="32" t="s">
        <v>86</v>
      </c>
      <c r="F27" s="32" t="s">
        <v>55</v>
      </c>
      <c r="G27" s="32" t="s">
        <v>56</v>
      </c>
      <c r="H27" s="7" t="s">
        <v>68</v>
      </c>
      <c r="I27" s="32" t="s">
        <v>81</v>
      </c>
      <c r="J27" s="32" t="s">
        <v>68</v>
      </c>
    </row>
    <row r="28" spans="1:10" x14ac:dyDescent="0.25">
      <c r="A28" s="29" t="s">
        <v>78</v>
      </c>
      <c r="B28" s="29" t="s">
        <v>79</v>
      </c>
      <c r="C28" s="29" t="s">
        <v>75</v>
      </c>
      <c r="D28" s="29" t="s">
        <v>91</v>
      </c>
      <c r="E28" s="29" t="s">
        <v>54</v>
      </c>
      <c r="F28" s="29" t="s">
        <v>55</v>
      </c>
      <c r="G28" s="29" t="s">
        <v>87</v>
      </c>
      <c r="H28" s="29" t="s">
        <v>95</v>
      </c>
      <c r="I28" s="29" t="s">
        <v>58</v>
      </c>
      <c r="J28" s="29" t="s">
        <v>97</v>
      </c>
    </row>
    <row r="29" spans="1:10" x14ac:dyDescent="0.25">
      <c r="A29" s="32" t="s">
        <v>50</v>
      </c>
      <c r="B29" s="32" t="s">
        <v>90</v>
      </c>
      <c r="C29" s="32" t="s">
        <v>75</v>
      </c>
      <c r="D29" s="32" t="s">
        <v>53</v>
      </c>
      <c r="E29" s="32" t="s">
        <v>65</v>
      </c>
      <c r="F29" s="32" t="s">
        <v>99</v>
      </c>
      <c r="G29" s="32" t="s">
        <v>56</v>
      </c>
      <c r="H29" s="32" t="s">
        <v>68</v>
      </c>
      <c r="I29" s="32" t="s">
        <v>81</v>
      </c>
      <c r="J29" s="32" t="s">
        <v>97</v>
      </c>
    </row>
    <row r="30" spans="1:10" x14ac:dyDescent="0.25">
      <c r="A30" s="29" t="s">
        <v>50</v>
      </c>
      <c r="B30" s="29" t="s">
        <v>51</v>
      </c>
      <c r="C30" s="29" t="s">
        <v>52</v>
      </c>
      <c r="D30" s="29" t="s">
        <v>53</v>
      </c>
      <c r="E30" s="29" t="s">
        <v>54</v>
      </c>
      <c r="F30" s="29" t="s">
        <v>99</v>
      </c>
      <c r="G30" s="29" t="s">
        <v>56</v>
      </c>
      <c r="H30" s="29" t="s">
        <v>68</v>
      </c>
      <c r="I30" s="29" t="s">
        <v>58</v>
      </c>
      <c r="J30" s="29" t="s">
        <v>59</v>
      </c>
    </row>
    <row r="31" spans="1:10" x14ac:dyDescent="0.25">
      <c r="A31" s="32" t="s">
        <v>50</v>
      </c>
      <c r="B31" s="32" t="s">
        <v>51</v>
      </c>
      <c r="C31" s="32" t="s">
        <v>52</v>
      </c>
      <c r="D31" s="32" t="s">
        <v>91</v>
      </c>
      <c r="E31" s="32" t="s">
        <v>65</v>
      </c>
      <c r="F31" s="32" t="s">
        <v>55</v>
      </c>
      <c r="G31" s="32" t="s">
        <v>56</v>
      </c>
      <c r="H31" s="32" t="s">
        <v>68</v>
      </c>
      <c r="I31" s="32" t="s">
        <v>96</v>
      </c>
      <c r="J31" s="32" t="s">
        <v>59</v>
      </c>
    </row>
    <row r="32" spans="1:10" x14ac:dyDescent="0.25">
      <c r="A32" s="29" t="s">
        <v>50</v>
      </c>
      <c r="B32" s="29" t="s">
        <v>51</v>
      </c>
      <c r="C32" s="29" t="s">
        <v>75</v>
      </c>
      <c r="D32" s="29" t="s">
        <v>53</v>
      </c>
      <c r="E32" s="29" t="s">
        <v>65</v>
      </c>
      <c r="F32" s="29" t="s">
        <v>55</v>
      </c>
      <c r="G32" s="29" t="s">
        <v>56</v>
      </c>
      <c r="H32" s="29" t="s">
        <v>68</v>
      </c>
      <c r="I32" s="29" t="s">
        <v>96</v>
      </c>
      <c r="J32" s="29" t="s">
        <v>59</v>
      </c>
    </row>
    <row r="33" spans="1:10" x14ac:dyDescent="0.25">
      <c r="A33" s="32" t="s">
        <v>50</v>
      </c>
      <c r="B33" s="32" t="s">
        <v>51</v>
      </c>
      <c r="C33" s="32" t="s">
        <v>52</v>
      </c>
      <c r="D33" s="32" t="s">
        <v>53</v>
      </c>
      <c r="E33" s="32" t="s">
        <v>68</v>
      </c>
      <c r="F33" s="32" t="s">
        <v>99</v>
      </c>
      <c r="G33" s="32" t="s">
        <v>56</v>
      </c>
      <c r="H33" s="32" t="s">
        <v>57</v>
      </c>
      <c r="I33" s="32" t="s">
        <v>58</v>
      </c>
      <c r="J33" s="32" t="s">
        <v>59</v>
      </c>
    </row>
    <row r="34" spans="1:10" x14ac:dyDescent="0.25">
      <c r="A34" s="29" t="s">
        <v>50</v>
      </c>
      <c r="B34" s="29" t="s">
        <v>79</v>
      </c>
      <c r="C34" s="29" t="s">
        <v>75</v>
      </c>
      <c r="D34" s="29" t="s">
        <v>53</v>
      </c>
      <c r="E34" s="29" t="s">
        <v>65</v>
      </c>
      <c r="F34" s="29" t="s">
        <v>55</v>
      </c>
      <c r="G34" s="29" t="s">
        <v>56</v>
      </c>
      <c r="H34" s="29" t="s">
        <v>68</v>
      </c>
      <c r="I34" s="29" t="s">
        <v>69</v>
      </c>
      <c r="J34" s="29" t="s">
        <v>97</v>
      </c>
    </row>
    <row r="35" spans="1:10" x14ac:dyDescent="0.25">
      <c r="A35" s="32" t="s">
        <v>50</v>
      </c>
      <c r="B35" s="32" t="s">
        <v>51</v>
      </c>
      <c r="C35" s="32" t="s">
        <v>52</v>
      </c>
      <c r="D35" s="32" t="s">
        <v>53</v>
      </c>
      <c r="E35" s="32" t="s">
        <v>65</v>
      </c>
      <c r="F35" s="32" t="s">
        <v>66</v>
      </c>
      <c r="G35" s="32" t="s">
        <v>56</v>
      </c>
      <c r="H35" s="32" t="s">
        <v>68</v>
      </c>
      <c r="I35" s="32" t="s">
        <v>96</v>
      </c>
      <c r="J35" s="32" t="s">
        <v>68</v>
      </c>
    </row>
    <row r="36" spans="1:10" x14ac:dyDescent="0.25">
      <c r="A36" s="29" t="s">
        <v>74</v>
      </c>
      <c r="B36" s="29" t="s">
        <v>90</v>
      </c>
      <c r="C36" s="29" t="s">
        <v>52</v>
      </c>
      <c r="D36" s="29" t="s">
        <v>53</v>
      </c>
      <c r="E36" s="29" t="s">
        <v>54</v>
      </c>
      <c r="F36" s="29" t="s">
        <v>66</v>
      </c>
      <c r="G36" s="29" t="s">
        <v>56</v>
      </c>
      <c r="H36" s="29" t="s">
        <v>68</v>
      </c>
      <c r="I36" s="29" t="s">
        <v>81</v>
      </c>
      <c r="J36" s="29" t="s">
        <v>97</v>
      </c>
    </row>
    <row r="37" spans="1:10" x14ac:dyDescent="0.25">
      <c r="A37" s="32" t="s">
        <v>78</v>
      </c>
      <c r="B37" s="32" t="s">
        <v>79</v>
      </c>
      <c r="C37" s="32" t="s">
        <v>52</v>
      </c>
      <c r="D37" s="32" t="s">
        <v>53</v>
      </c>
      <c r="E37" s="32" t="s">
        <v>54</v>
      </c>
      <c r="F37" s="32" t="s">
        <v>66</v>
      </c>
      <c r="G37" s="32" t="s">
        <v>56</v>
      </c>
      <c r="H37" s="32" t="s">
        <v>100</v>
      </c>
      <c r="I37" s="32" t="s">
        <v>58</v>
      </c>
      <c r="J37" s="32" t="s">
        <v>68</v>
      </c>
    </row>
    <row r="38" spans="1:10" x14ac:dyDescent="0.25">
      <c r="A38" s="29" t="s">
        <v>74</v>
      </c>
      <c r="B38" s="29" t="s">
        <v>79</v>
      </c>
      <c r="C38" s="29" t="s">
        <v>75</v>
      </c>
      <c r="D38" s="29" t="s">
        <v>53</v>
      </c>
      <c r="E38" s="29" t="s">
        <v>68</v>
      </c>
      <c r="F38" s="29" t="s">
        <v>66</v>
      </c>
      <c r="G38" s="29" t="s">
        <v>87</v>
      </c>
      <c r="H38" s="29" t="s">
        <v>57</v>
      </c>
      <c r="I38" s="29" t="s">
        <v>58</v>
      </c>
      <c r="J38" s="29" t="s">
        <v>59</v>
      </c>
    </row>
    <row r="39" spans="1:10" x14ac:dyDescent="0.25">
      <c r="A39" s="32" t="s">
        <v>74</v>
      </c>
      <c r="B39" s="32" t="s">
        <v>79</v>
      </c>
      <c r="C39" s="32" t="s">
        <v>75</v>
      </c>
      <c r="D39" s="32" t="s">
        <v>53</v>
      </c>
      <c r="E39" s="32" t="s">
        <v>54</v>
      </c>
      <c r="F39" s="32" t="s">
        <v>99</v>
      </c>
      <c r="G39" s="32" t="s">
        <v>56</v>
      </c>
      <c r="H39" s="32" t="s">
        <v>95</v>
      </c>
      <c r="I39" s="32" t="s">
        <v>58</v>
      </c>
      <c r="J39" s="32" t="s">
        <v>59</v>
      </c>
    </row>
    <row r="40" spans="1:10" x14ac:dyDescent="0.25">
      <c r="A40" s="29" t="s">
        <v>74</v>
      </c>
      <c r="B40" s="29" t="s">
        <v>51</v>
      </c>
      <c r="C40" s="29" t="s">
        <v>52</v>
      </c>
      <c r="D40" s="29" t="s">
        <v>53</v>
      </c>
      <c r="E40" s="29" t="s">
        <v>68</v>
      </c>
      <c r="F40" s="29" t="s">
        <v>99</v>
      </c>
      <c r="G40" s="29" t="s">
        <v>56</v>
      </c>
      <c r="H40" s="29" t="s">
        <v>100</v>
      </c>
      <c r="I40" s="29" t="s">
        <v>58</v>
      </c>
      <c r="J40" s="29" t="s">
        <v>59</v>
      </c>
    </row>
    <row r="41" spans="1:10" x14ac:dyDescent="0.25">
      <c r="A41" s="32" t="s">
        <v>50</v>
      </c>
      <c r="B41" s="32" t="s">
        <v>90</v>
      </c>
      <c r="C41" s="32" t="s">
        <v>75</v>
      </c>
      <c r="D41" s="32" t="s">
        <v>53</v>
      </c>
      <c r="E41" s="32" t="s">
        <v>54</v>
      </c>
      <c r="F41" s="32" t="s">
        <v>99</v>
      </c>
      <c r="G41" s="32" t="s">
        <v>56</v>
      </c>
      <c r="H41" s="32" t="s">
        <v>68</v>
      </c>
      <c r="I41" s="32" t="s">
        <v>69</v>
      </c>
      <c r="J41" s="32" t="s">
        <v>68</v>
      </c>
    </row>
    <row r="42" spans="1:10" x14ac:dyDescent="0.25">
      <c r="A42" s="29" t="s">
        <v>64</v>
      </c>
      <c r="B42" s="29" t="s">
        <v>51</v>
      </c>
      <c r="C42" s="29" t="s">
        <v>75</v>
      </c>
      <c r="D42" s="29" t="s">
        <v>53</v>
      </c>
      <c r="E42" s="29" t="s">
        <v>65</v>
      </c>
      <c r="F42" s="29" t="s">
        <v>99</v>
      </c>
      <c r="G42" s="29" t="s">
        <v>67</v>
      </c>
      <c r="H42" s="29" t="s">
        <v>68</v>
      </c>
      <c r="I42" s="29" t="s">
        <v>58</v>
      </c>
      <c r="J42" s="29" t="s">
        <v>68</v>
      </c>
    </row>
    <row r="43" spans="1:10" x14ac:dyDescent="0.25">
      <c r="A43" s="32" t="s">
        <v>78</v>
      </c>
      <c r="B43" s="32" t="s">
        <v>90</v>
      </c>
      <c r="C43" s="32" t="s">
        <v>75</v>
      </c>
      <c r="D43" s="32" t="s">
        <v>53</v>
      </c>
      <c r="E43" s="32" t="s">
        <v>65</v>
      </c>
      <c r="F43" s="32" t="s">
        <v>99</v>
      </c>
      <c r="G43" s="32" t="s">
        <v>56</v>
      </c>
      <c r="H43" s="32" t="s">
        <v>100</v>
      </c>
      <c r="I43" s="32" t="s">
        <v>58</v>
      </c>
      <c r="J43" s="32" t="s">
        <v>59</v>
      </c>
    </row>
    <row r="44" spans="1:10" x14ac:dyDescent="0.25">
      <c r="A44" s="29" t="s">
        <v>50</v>
      </c>
      <c r="B44" s="29" t="s">
        <v>90</v>
      </c>
      <c r="C44" s="29" t="s">
        <v>52</v>
      </c>
      <c r="D44" s="29" t="s">
        <v>53</v>
      </c>
      <c r="E44" s="29" t="s">
        <v>65</v>
      </c>
      <c r="F44" s="29" t="s">
        <v>66</v>
      </c>
      <c r="G44" s="29" t="s">
        <v>67</v>
      </c>
      <c r="H44" s="29" t="s">
        <v>68</v>
      </c>
      <c r="I44" s="29" t="s">
        <v>81</v>
      </c>
      <c r="J44" s="29" t="s">
        <v>59</v>
      </c>
    </row>
    <row r="45" spans="1:10" x14ac:dyDescent="0.25">
      <c r="A45" s="32" t="s">
        <v>78</v>
      </c>
      <c r="B45" s="32" t="s">
        <v>90</v>
      </c>
      <c r="C45" s="32" t="s">
        <v>75</v>
      </c>
      <c r="D45" s="32" t="s">
        <v>53</v>
      </c>
      <c r="E45" s="32" t="s">
        <v>54</v>
      </c>
      <c r="F45" s="32" t="s">
        <v>55</v>
      </c>
      <c r="G45" s="32" t="s">
        <v>102</v>
      </c>
      <c r="H45" s="32" t="s">
        <v>100</v>
      </c>
      <c r="I45" s="32" t="s">
        <v>69</v>
      </c>
      <c r="J45" s="32" t="s">
        <v>68</v>
      </c>
    </row>
    <row r="46" spans="1:10" x14ac:dyDescent="0.25">
      <c r="A46" s="29" t="s">
        <v>78</v>
      </c>
      <c r="B46" s="29" t="s">
        <v>79</v>
      </c>
      <c r="C46" s="29" t="s">
        <v>52</v>
      </c>
      <c r="D46" s="29" t="s">
        <v>91</v>
      </c>
      <c r="E46" s="29" t="s">
        <v>65</v>
      </c>
      <c r="F46" s="29" t="s">
        <v>80</v>
      </c>
      <c r="G46" s="29" t="s">
        <v>67</v>
      </c>
      <c r="H46" s="29" t="s">
        <v>57</v>
      </c>
      <c r="I46" s="29" t="s">
        <v>58</v>
      </c>
      <c r="J46" s="29" t="s">
        <v>97</v>
      </c>
    </row>
    <row r="47" spans="1:10" x14ac:dyDescent="0.25">
      <c r="A47" s="32" t="s">
        <v>50</v>
      </c>
      <c r="B47" s="32" t="s">
        <v>90</v>
      </c>
      <c r="C47" s="32" t="s">
        <v>75</v>
      </c>
      <c r="D47" s="32" t="s">
        <v>91</v>
      </c>
      <c r="E47" s="32" t="s">
        <v>86</v>
      </c>
      <c r="F47" s="32" t="s">
        <v>55</v>
      </c>
      <c r="G47" s="32" t="s">
        <v>102</v>
      </c>
      <c r="H47" s="32" t="s">
        <v>57</v>
      </c>
      <c r="I47" s="32" t="s">
        <v>58</v>
      </c>
      <c r="J47" s="32" t="s">
        <v>59</v>
      </c>
    </row>
    <row r="48" spans="1:10" x14ac:dyDescent="0.25">
      <c r="A48" s="29" t="s">
        <v>64</v>
      </c>
      <c r="B48" s="29" t="s">
        <v>90</v>
      </c>
      <c r="C48" s="29" t="s">
        <v>75</v>
      </c>
      <c r="D48" s="29" t="s">
        <v>53</v>
      </c>
      <c r="E48" s="29" t="s">
        <v>65</v>
      </c>
      <c r="F48" s="29" t="s">
        <v>55</v>
      </c>
      <c r="G48" s="29" t="s">
        <v>56</v>
      </c>
      <c r="H48" s="29" t="s">
        <v>57</v>
      </c>
      <c r="I48" s="29" t="s">
        <v>69</v>
      </c>
      <c r="J48" s="29" t="s">
        <v>97</v>
      </c>
    </row>
    <row r="49" spans="1:10" x14ac:dyDescent="0.25">
      <c r="A49" s="32" t="s">
        <v>74</v>
      </c>
      <c r="B49" s="32" t="s">
        <v>90</v>
      </c>
      <c r="C49" s="32" t="s">
        <v>52</v>
      </c>
      <c r="D49" s="32" t="s">
        <v>53</v>
      </c>
      <c r="E49" s="32" t="s">
        <v>65</v>
      </c>
      <c r="F49" s="32" t="s">
        <v>80</v>
      </c>
      <c r="G49" s="32" t="s">
        <v>56</v>
      </c>
      <c r="H49" s="32" t="s">
        <v>95</v>
      </c>
      <c r="I49" s="32" t="s">
        <v>81</v>
      </c>
      <c r="J49" s="32" t="s">
        <v>59</v>
      </c>
    </row>
    <row r="50" spans="1:10" x14ac:dyDescent="0.25">
      <c r="A50" s="29" t="s">
        <v>64</v>
      </c>
      <c r="B50" s="29" t="s">
        <v>90</v>
      </c>
      <c r="C50" s="29" t="s">
        <v>75</v>
      </c>
      <c r="D50" s="29" t="s">
        <v>53</v>
      </c>
      <c r="E50" s="29" t="s">
        <v>68</v>
      </c>
      <c r="F50" s="29" t="s">
        <v>99</v>
      </c>
      <c r="G50" s="29" t="s">
        <v>67</v>
      </c>
      <c r="H50" s="29" t="s">
        <v>68</v>
      </c>
      <c r="I50" s="29" t="s">
        <v>58</v>
      </c>
      <c r="J50" s="29" t="s">
        <v>68</v>
      </c>
    </row>
    <row r="51" spans="1:10" x14ac:dyDescent="0.25">
      <c r="A51" s="32" t="s">
        <v>50</v>
      </c>
      <c r="B51" s="32" t="s">
        <v>90</v>
      </c>
      <c r="C51" s="32" t="s">
        <v>75</v>
      </c>
      <c r="D51" s="32" t="s">
        <v>53</v>
      </c>
      <c r="E51" s="32" t="s">
        <v>65</v>
      </c>
      <c r="F51" s="32" t="s">
        <v>66</v>
      </c>
      <c r="G51" s="32" t="s">
        <v>56</v>
      </c>
      <c r="H51" s="32" t="s">
        <v>95</v>
      </c>
      <c r="I51" s="32" t="s">
        <v>96</v>
      </c>
      <c r="J51" s="32" t="s">
        <v>59</v>
      </c>
    </row>
    <row r="52" spans="1:10" x14ac:dyDescent="0.25">
      <c r="A52" s="33"/>
      <c r="B52" s="33"/>
      <c r="C52" s="33"/>
      <c r="D52" s="33"/>
      <c r="E52" s="33"/>
      <c r="F52" s="33"/>
      <c r="G52" s="33"/>
      <c r="H52" s="33"/>
      <c r="I52" s="33"/>
      <c r="J52" s="33"/>
    </row>
    <row r="54" spans="1:10" ht="24.6" x14ac:dyDescent="0.4">
      <c r="A54" s="25" t="s">
        <v>257</v>
      </c>
    </row>
    <row r="55" spans="1:10" ht="13.8" x14ac:dyDescent="0.25">
      <c r="A55" s="38" t="s">
        <v>268</v>
      </c>
      <c r="B55" s="38" t="s">
        <v>258</v>
      </c>
      <c r="C55" s="38" t="s">
        <v>259</v>
      </c>
      <c r="D55" s="38" t="s">
        <v>260</v>
      </c>
      <c r="E55" s="38" t="s">
        <v>261</v>
      </c>
      <c r="F55" s="38" t="s">
        <v>262</v>
      </c>
      <c r="G55" s="38" t="s">
        <v>263</v>
      </c>
      <c r="H55" s="38" t="s">
        <v>264</v>
      </c>
      <c r="I55" s="38" t="s">
        <v>265</v>
      </c>
      <c r="J55" s="38" t="s">
        <v>266</v>
      </c>
    </row>
    <row r="56" spans="1:10" x14ac:dyDescent="0.25">
      <c r="A56">
        <f>COUNTIF(A2:A51, "1st year")</f>
        <v>13</v>
      </c>
      <c r="B56">
        <f>COUNTIF(B2:B51, "Sciences")</f>
        <v>19</v>
      </c>
      <c r="C56">
        <f>COUNTIF(C2:C51, "Male")</f>
        <v>31</v>
      </c>
      <c r="D56">
        <f>COUNTIF(D2:D51, "Private")</f>
        <v>36</v>
      </c>
      <c r="E56">
        <f>COUNTIF(E2:E51, "Hobbies")</f>
        <v>10</v>
      </c>
      <c r="F56">
        <f>COUNTIF(F2:F51, "Gaming")</f>
        <v>14</v>
      </c>
      <c r="G56">
        <f>COUNTIF(G2:G51, "Solo")</f>
        <v>30</v>
      </c>
      <c r="H56">
        <f>COUNTIF(H2:H51, "Peer support")</f>
        <v>11</v>
      </c>
      <c r="I56">
        <f>COUNTIF(I2:I51, "Exams / Assignments")</f>
        <v>24</v>
      </c>
      <c r="J56">
        <f>COUNTIF(J2:J51, "Instagram")</f>
        <v>26</v>
      </c>
    </row>
    <row r="57" spans="1:10" x14ac:dyDescent="0.25">
      <c r="A57">
        <f>COUNTIF(A2:A51, "2nd year")</f>
        <v>22</v>
      </c>
      <c r="B57">
        <f>COUNTIF(B2:B51, "Engineering")</f>
        <v>13</v>
      </c>
      <c r="C57">
        <f>COUNTIF(C2:C51, "Female")</f>
        <v>19</v>
      </c>
      <c r="D57">
        <f>COUNTIF(D2:D51, "Public")</f>
        <v>14</v>
      </c>
      <c r="E57">
        <f>COUNTIF(E2:E51, "Sleep")</f>
        <v>23</v>
      </c>
      <c r="F57">
        <f>COUNTIF(F2:F51, "Journaling")</f>
        <v>8</v>
      </c>
      <c r="G57">
        <f>COUNTIF(G2:G51, "Online resources")</f>
        <v>11</v>
      </c>
      <c r="H57">
        <f>COUNTIF(H2:H51, "Online therapy")</f>
        <v>8</v>
      </c>
      <c r="I57">
        <f>COUNTIF(I2:I51, "Personal expectations")</f>
        <v>9</v>
      </c>
      <c r="J57">
        <f>COUNTIF(J2:J51, "Youtube")</f>
        <v>10</v>
      </c>
    </row>
    <row r="58" spans="1:10" x14ac:dyDescent="0.25">
      <c r="A58">
        <f>COUNTIF(A2:A51, "3rd year")</f>
        <v>5</v>
      </c>
      <c r="B58">
        <f>COUNTIF(B2:B51, "Business")</f>
        <v>18</v>
      </c>
      <c r="E58">
        <f>COUNTIF(E2:E51, "Talking to Friends")</f>
        <v>12</v>
      </c>
      <c r="F58">
        <f>COUNTIF(F2:F51, "Meditation")</f>
        <v>10</v>
      </c>
      <c r="G58">
        <f>COUNTIF(G2:G51, "Tutoring")</f>
        <v>3</v>
      </c>
      <c r="H58">
        <f>COUNTIF(H2:H51, "Counseling center")</f>
        <v>8</v>
      </c>
      <c r="I58">
        <f>COUNTIF(I2:I51, "Lack of support")</f>
        <v>7</v>
      </c>
      <c r="J58">
        <f>COUNTIF(J2:J51, "TikTok")</f>
        <v>3</v>
      </c>
    </row>
    <row r="59" spans="1:10" x14ac:dyDescent="0.25">
      <c r="A59">
        <f>COUNTIF(A2:A51, "4th year")</f>
        <v>10</v>
      </c>
      <c r="E59">
        <f>COUNTIF(E2:E51, "None")</f>
        <v>5</v>
      </c>
      <c r="F59">
        <f>COUNTIF(F2:F51, "Music")</f>
        <v>18</v>
      </c>
      <c r="G59">
        <f>COUNTIF(G2:G51, "Group study")</f>
        <v>6</v>
      </c>
      <c r="H59">
        <f>COUNTIF(H2:H51, "None")</f>
        <v>23</v>
      </c>
      <c r="I59">
        <f>COUNTIF(I2:I51, "Time pressure")</f>
        <v>10</v>
      </c>
      <c r="J59">
        <f>COUNTIF(J2:J51, "None")</f>
        <v>11</v>
      </c>
    </row>
    <row r="62" spans="1:10" ht="24.6" x14ac:dyDescent="0.4">
      <c r="A62" s="25" t="s">
        <v>267</v>
      </c>
    </row>
    <row r="63" spans="1:10" ht="13.8" x14ac:dyDescent="0.25">
      <c r="A63" s="38" t="s">
        <v>269</v>
      </c>
      <c r="B63" s="38" t="s">
        <v>258</v>
      </c>
      <c r="C63" s="38" t="s">
        <v>259</v>
      </c>
      <c r="D63" s="38" t="s">
        <v>260</v>
      </c>
      <c r="E63" s="38" t="s">
        <v>261</v>
      </c>
      <c r="F63" s="38" t="s">
        <v>262</v>
      </c>
      <c r="G63" s="38" t="s">
        <v>263</v>
      </c>
      <c r="H63" s="38" t="s">
        <v>264</v>
      </c>
      <c r="I63" s="38" t="s">
        <v>265</v>
      </c>
      <c r="J63" s="38" t="s">
        <v>266</v>
      </c>
    </row>
    <row r="64" spans="1:10" x14ac:dyDescent="0.25">
      <c r="A64">
        <f>(COUNTIF(A2:A51, "1st year") / COUNTA(A2:A51)) * 100</f>
        <v>26</v>
      </c>
      <c r="B64">
        <f>(COUNTIF(B2:B51, "Sciences") / COUNTA(B2:B51)) * 100</f>
        <v>38</v>
      </c>
      <c r="C64">
        <f>(COUNTIF(C2:C51, "Male") / COUNTA(C2:C51)) * 100</f>
        <v>62</v>
      </c>
      <c r="D64">
        <f>(COUNTIF(D2:D51, "Private") / COUNTA(D2:D51)) * 100</f>
        <v>72</v>
      </c>
      <c r="E64">
        <f>(COUNTIF(E2:E51, "Hobbies") / COUNTA(E2:E51)) * 100</f>
        <v>20</v>
      </c>
      <c r="F64">
        <f>(COUNTIF(F2:F51, "Gaming") / COUNTA(F2:F51)) * 100</f>
        <v>28.000000000000004</v>
      </c>
      <c r="G64">
        <f>(COUNTIF(G2:G51, "Solo") / COUNTA(G2:G51)) * 100</f>
        <v>60</v>
      </c>
      <c r="H64">
        <f>(COUNTIF(H2:H51, "Peer support") / COUNTA(H2:H51)) * 100</f>
        <v>22</v>
      </c>
      <c r="I64">
        <f>(COUNTIF(I2:I51, "Exams / Assignments") / COUNTA(I2:I51)) * 100</f>
        <v>48</v>
      </c>
      <c r="J64">
        <f>(COUNTIF(J2:J51, "Instagram") / COUNTA(J2:J51)) * 100</f>
        <v>52</v>
      </c>
    </row>
    <row r="65" spans="1:10" x14ac:dyDescent="0.25">
      <c r="A65">
        <f>(COUNTIF(A2:A51, "2nd year") / COUNTA(A2:A51)) * 100</f>
        <v>44</v>
      </c>
      <c r="B65">
        <f>(COUNTIF(B2:B51, "Engineering") / COUNTA(B2:B51)) * 100</f>
        <v>26</v>
      </c>
      <c r="C65">
        <f>(COUNTIF(C2:C51,"Female") / COUNTA(C2:C51)) * 100</f>
        <v>38</v>
      </c>
      <c r="D65">
        <f>(COUNTIF(D2:D51,"Public") / COUNTA(D2:D51)) * 100</f>
        <v>28.000000000000004</v>
      </c>
      <c r="E65">
        <f>(COUNTIF(E2:E51, "Sleep") / COUNTA(E2:E51)) * 100</f>
        <v>46</v>
      </c>
      <c r="F65">
        <f>(COUNTIF(F2:F51, "Journaling") / COUNTA(F2:F51)) * 100</f>
        <v>16</v>
      </c>
      <c r="G65">
        <f>(COUNTIF(G2:G51, "Online resources") / COUNTA(G2:G51)) * 100</f>
        <v>22</v>
      </c>
      <c r="H65">
        <f>(COUNTIF(H2:H51, "Online therapy") / COUNTA(H2:H51)) * 100</f>
        <v>16</v>
      </c>
      <c r="I65">
        <f>(COUNTIF(I2:I51, "Personal expectations") / COUNTA(I2:I51)) * 100</f>
        <v>18</v>
      </c>
      <c r="J65">
        <f>(COUNTIF(J2:J51, "Youtube") / COUNTA(J2:J51)) * 100</f>
        <v>20</v>
      </c>
    </row>
    <row r="66" spans="1:10" x14ac:dyDescent="0.25">
      <c r="A66">
        <f>(COUNTIF(A2:A51, "3rd year") / COUNTA(A2:A51)) * 100</f>
        <v>10</v>
      </c>
      <c r="B66">
        <f>(COUNTIF(B2:B51, "Business") / COUNTA(B2:B51)) * 100</f>
        <v>36</v>
      </c>
      <c r="E66">
        <f>(COUNTIF(E2:E51, "Talking to friends") / COUNTA(E2:E51)) * 100</f>
        <v>24</v>
      </c>
      <c r="F66">
        <f>(COUNTIF(F2:F51, "Meditation") / COUNTA(F2:F51)) * 100</f>
        <v>20</v>
      </c>
      <c r="G66">
        <f>(COUNTIF(G2:G51, "Tutoring") / COUNTA(G2:G51)) * 100</f>
        <v>6</v>
      </c>
      <c r="H66">
        <f>(COUNTIF(H2:H51, "Counseling center") / COUNTA(H2:H51)) * 100</f>
        <v>16</v>
      </c>
      <c r="I66">
        <f>(COUNTIF(I2:I51, "Lack of support") / COUNTA(I2:I51)) * 100</f>
        <v>14.000000000000002</v>
      </c>
      <c r="J66">
        <f>(COUNTIF(J2:J51, "TikTok") / COUNTA(J2:J51)) * 100</f>
        <v>6</v>
      </c>
    </row>
    <row r="67" spans="1:10" x14ac:dyDescent="0.25">
      <c r="A67">
        <f>(COUNTIF(A2:A51, "4th year") / COUNTA(A2:A51)) * 100</f>
        <v>20</v>
      </c>
      <c r="E67">
        <f>(COUNTIF(E2:E51, "None") / COUNTA(E2:E51)) * 100</f>
        <v>10</v>
      </c>
      <c r="F67">
        <f>(COUNTIF(F2:F51, "Music") / COUNTA(F2:F51)) * 100</f>
        <v>36</v>
      </c>
      <c r="G67">
        <f>(COUNTIF(G2:G51, "Group study") / COUNTA(G2:G51)) * 100</f>
        <v>12</v>
      </c>
      <c r="H67">
        <f>(COUNTIF(H2:H51, "None") / COUNTA(H2:H51)) * 100</f>
        <v>46</v>
      </c>
      <c r="I67">
        <f>(COUNTIF(I2:I51, "Time pressure") / COUNTA(I2:I51)) * 100</f>
        <v>20</v>
      </c>
      <c r="J67">
        <f>(COUNTIF(J2:J51, "None") / COUNTA(J2:J51)) * 100</f>
        <v>22</v>
      </c>
    </row>
    <row r="70" spans="1:10" ht="24.6" x14ac:dyDescent="0.4">
      <c r="A70" s="25" t="s">
        <v>270</v>
      </c>
    </row>
    <row r="71" spans="1:10" ht="13.8" x14ac:dyDescent="0.25">
      <c r="A71" s="38" t="s">
        <v>271</v>
      </c>
      <c r="B71" s="38" t="s">
        <v>272</v>
      </c>
      <c r="C71" s="38" t="s">
        <v>273</v>
      </c>
      <c r="D71" s="38" t="s">
        <v>274</v>
      </c>
      <c r="E71" s="39" t="s">
        <v>275</v>
      </c>
      <c r="F71" s="39" t="s">
        <v>276</v>
      </c>
      <c r="G71" s="39" t="s">
        <v>277</v>
      </c>
      <c r="H71" s="39" t="s">
        <v>278</v>
      </c>
      <c r="I71" s="39" t="s">
        <v>279</v>
      </c>
      <c r="J71" s="39" t="s">
        <v>280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58576-B37B-44F5-8017-17DB43D1B001}">
  <dimension ref="A1:I51"/>
  <sheetViews>
    <sheetView workbookViewId="0">
      <selection activeCell="F19" sqref="F19"/>
    </sheetView>
  </sheetViews>
  <sheetFormatPr defaultRowHeight="13.2" x14ac:dyDescent="0.25"/>
  <cols>
    <col min="1" max="1" width="26.77734375" bestFit="1" customWidth="1"/>
    <col min="2" max="2" width="19.77734375" bestFit="1" customWidth="1"/>
    <col min="3" max="3" width="21" bestFit="1" customWidth="1"/>
    <col min="4" max="4" width="34.109375" customWidth="1"/>
    <col min="5" max="5" width="26.44140625" customWidth="1"/>
    <col min="6" max="6" width="11.21875" customWidth="1"/>
    <col min="8" max="8" width="11.5546875" customWidth="1"/>
    <col min="9" max="9" width="14.33203125" customWidth="1"/>
  </cols>
  <sheetData>
    <row r="1" spans="1:9" x14ac:dyDescent="0.25">
      <c r="A1" s="31" t="s">
        <v>21</v>
      </c>
      <c r="B1" s="31" t="s">
        <v>22</v>
      </c>
      <c r="C1" s="31" t="s">
        <v>23</v>
      </c>
    </row>
    <row r="2" spans="1:9" x14ac:dyDescent="0.25">
      <c r="A2" s="29" t="s">
        <v>50</v>
      </c>
      <c r="B2" s="29" t="s">
        <v>51</v>
      </c>
      <c r="C2" s="29" t="s">
        <v>52</v>
      </c>
    </row>
    <row r="3" spans="1:9" ht="14.4" thickBot="1" x14ac:dyDescent="0.3">
      <c r="A3" s="32" t="s">
        <v>64</v>
      </c>
      <c r="B3" s="32" t="s">
        <v>51</v>
      </c>
      <c r="C3" s="32" t="s">
        <v>52</v>
      </c>
      <c r="D3" s="62" t="s">
        <v>512</v>
      </c>
      <c r="E3" s="63" t="s">
        <v>514</v>
      </c>
      <c r="F3" s="49"/>
      <c r="G3" s="49"/>
      <c r="H3" s="49"/>
      <c r="I3" s="50"/>
    </row>
    <row r="4" spans="1:9" ht="15" thickTop="1" thickBot="1" x14ac:dyDescent="0.3">
      <c r="A4" s="29" t="s">
        <v>74</v>
      </c>
      <c r="B4" s="29" t="s">
        <v>51</v>
      </c>
      <c r="C4" s="29" t="s">
        <v>75</v>
      </c>
      <c r="D4" s="64" t="s">
        <v>513</v>
      </c>
      <c r="E4" s="73" t="s">
        <v>74</v>
      </c>
      <c r="F4" s="74" t="s">
        <v>50</v>
      </c>
      <c r="G4" s="75" t="s">
        <v>64</v>
      </c>
      <c r="H4" s="76" t="s">
        <v>78</v>
      </c>
      <c r="I4" s="69" t="s">
        <v>231</v>
      </c>
    </row>
    <row r="5" spans="1:9" ht="13.8" thickTop="1" x14ac:dyDescent="0.25">
      <c r="A5" s="32" t="s">
        <v>74</v>
      </c>
      <c r="B5" s="32" t="s">
        <v>51</v>
      </c>
      <c r="C5" s="32" t="s">
        <v>52</v>
      </c>
      <c r="D5" s="51" t="s">
        <v>51</v>
      </c>
      <c r="E5" s="53">
        <v>6</v>
      </c>
      <c r="F5" s="54">
        <v>7</v>
      </c>
      <c r="G5" s="54">
        <v>3</v>
      </c>
      <c r="H5" s="54">
        <v>2</v>
      </c>
      <c r="I5" s="55">
        <v>18</v>
      </c>
    </row>
    <row r="6" spans="1:9" x14ac:dyDescent="0.25">
      <c r="A6" s="29" t="s">
        <v>78</v>
      </c>
      <c r="B6" s="29" t="s">
        <v>79</v>
      </c>
      <c r="C6" s="29" t="s">
        <v>52</v>
      </c>
      <c r="D6" s="52" t="s">
        <v>79</v>
      </c>
      <c r="E6" s="56">
        <v>2</v>
      </c>
      <c r="F6" s="57">
        <v>6</v>
      </c>
      <c r="G6" s="57"/>
      <c r="H6" s="57">
        <v>5</v>
      </c>
      <c r="I6" s="58">
        <v>13</v>
      </c>
    </row>
    <row r="7" spans="1:9" ht="13.8" thickBot="1" x14ac:dyDescent="0.3">
      <c r="A7" s="32" t="s">
        <v>74</v>
      </c>
      <c r="B7" s="32" t="s">
        <v>51</v>
      </c>
      <c r="C7" s="32" t="s">
        <v>75</v>
      </c>
      <c r="D7" s="52" t="s">
        <v>90</v>
      </c>
      <c r="E7" s="56">
        <v>5</v>
      </c>
      <c r="F7" s="57">
        <v>9</v>
      </c>
      <c r="G7" s="57">
        <v>2</v>
      </c>
      <c r="H7" s="57">
        <v>3</v>
      </c>
      <c r="I7" s="58">
        <v>19</v>
      </c>
    </row>
    <row r="8" spans="1:9" ht="15" thickTop="1" thickBot="1" x14ac:dyDescent="0.3">
      <c r="A8" s="29" t="s">
        <v>74</v>
      </c>
      <c r="B8" s="29" t="s">
        <v>90</v>
      </c>
      <c r="C8" s="29" t="s">
        <v>52</v>
      </c>
      <c r="D8" s="77" t="s">
        <v>231</v>
      </c>
      <c r="E8" s="59">
        <v>13</v>
      </c>
      <c r="F8" s="60">
        <v>22</v>
      </c>
      <c r="G8" s="60">
        <v>5</v>
      </c>
      <c r="H8" s="60">
        <v>10</v>
      </c>
      <c r="I8" s="61">
        <v>50</v>
      </c>
    </row>
    <row r="9" spans="1:9" ht="13.8" thickTop="1" x14ac:dyDescent="0.25">
      <c r="A9" s="32" t="s">
        <v>74</v>
      </c>
      <c r="B9" s="32" t="s">
        <v>51</v>
      </c>
      <c r="C9" s="32" t="s">
        <v>52</v>
      </c>
    </row>
    <row r="10" spans="1:9" x14ac:dyDescent="0.25">
      <c r="A10" s="29" t="s">
        <v>78</v>
      </c>
      <c r="B10" s="29" t="s">
        <v>90</v>
      </c>
      <c r="C10" s="29" t="s">
        <v>75</v>
      </c>
    </row>
    <row r="11" spans="1:9" x14ac:dyDescent="0.25">
      <c r="A11" s="32" t="s">
        <v>50</v>
      </c>
      <c r="B11" s="32" t="s">
        <v>79</v>
      </c>
      <c r="C11" s="32" t="s">
        <v>75</v>
      </c>
    </row>
    <row r="12" spans="1:9" x14ac:dyDescent="0.25">
      <c r="A12" s="29" t="s">
        <v>74</v>
      </c>
      <c r="B12" s="29" t="s">
        <v>90</v>
      </c>
      <c r="C12" s="29" t="s">
        <v>75</v>
      </c>
    </row>
    <row r="13" spans="1:9" x14ac:dyDescent="0.25">
      <c r="A13" s="32" t="s">
        <v>50</v>
      </c>
      <c r="B13" s="32" t="s">
        <v>90</v>
      </c>
      <c r="C13" s="32" t="s">
        <v>75</v>
      </c>
    </row>
    <row r="14" spans="1:9" x14ac:dyDescent="0.25">
      <c r="A14" s="29" t="s">
        <v>78</v>
      </c>
      <c r="B14" s="29" t="s">
        <v>51</v>
      </c>
      <c r="C14" s="29" t="s">
        <v>52</v>
      </c>
    </row>
    <row r="15" spans="1:9" x14ac:dyDescent="0.25">
      <c r="A15" s="32" t="s">
        <v>78</v>
      </c>
      <c r="B15" s="32" t="s">
        <v>51</v>
      </c>
      <c r="C15" s="32" t="s">
        <v>75</v>
      </c>
    </row>
    <row r="16" spans="1:9" x14ac:dyDescent="0.25">
      <c r="A16" s="29" t="s">
        <v>50</v>
      </c>
      <c r="B16" s="29" t="s">
        <v>79</v>
      </c>
      <c r="C16" s="29" t="s">
        <v>75</v>
      </c>
    </row>
    <row r="17" spans="1:3" x14ac:dyDescent="0.25">
      <c r="A17" s="32" t="s">
        <v>50</v>
      </c>
      <c r="B17" s="32" t="s">
        <v>90</v>
      </c>
      <c r="C17" s="32" t="s">
        <v>75</v>
      </c>
    </row>
    <row r="18" spans="1:3" x14ac:dyDescent="0.25">
      <c r="A18" s="29" t="s">
        <v>64</v>
      </c>
      <c r="B18" s="29" t="s">
        <v>51</v>
      </c>
      <c r="C18" s="29" t="s">
        <v>75</v>
      </c>
    </row>
    <row r="19" spans="1:3" x14ac:dyDescent="0.25">
      <c r="A19" s="32" t="s">
        <v>50</v>
      </c>
      <c r="B19" s="32" t="s">
        <v>79</v>
      </c>
      <c r="C19" s="32" t="s">
        <v>52</v>
      </c>
    </row>
    <row r="20" spans="1:3" x14ac:dyDescent="0.25">
      <c r="A20" s="29" t="s">
        <v>50</v>
      </c>
      <c r="B20" s="29" t="s">
        <v>79</v>
      </c>
      <c r="C20" s="29" t="s">
        <v>75</v>
      </c>
    </row>
    <row r="21" spans="1:3" x14ac:dyDescent="0.25">
      <c r="A21" s="32" t="s">
        <v>50</v>
      </c>
      <c r="B21" s="32" t="s">
        <v>90</v>
      </c>
      <c r="C21" s="32" t="s">
        <v>75</v>
      </c>
    </row>
    <row r="22" spans="1:3" x14ac:dyDescent="0.25">
      <c r="A22" s="29" t="s">
        <v>50</v>
      </c>
      <c r="B22" s="29" t="s">
        <v>51</v>
      </c>
      <c r="C22" s="29" t="s">
        <v>75</v>
      </c>
    </row>
    <row r="23" spans="1:3" x14ac:dyDescent="0.25">
      <c r="A23" s="32" t="s">
        <v>50</v>
      </c>
      <c r="B23" s="32" t="s">
        <v>90</v>
      </c>
      <c r="C23" s="32" t="s">
        <v>75</v>
      </c>
    </row>
    <row r="24" spans="1:3" x14ac:dyDescent="0.25">
      <c r="A24" s="29" t="s">
        <v>50</v>
      </c>
      <c r="B24" s="29" t="s">
        <v>79</v>
      </c>
      <c r="C24" s="29" t="s">
        <v>75</v>
      </c>
    </row>
    <row r="25" spans="1:3" x14ac:dyDescent="0.25">
      <c r="A25" s="32" t="s">
        <v>78</v>
      </c>
      <c r="B25" s="32" t="s">
        <v>79</v>
      </c>
      <c r="C25" s="32" t="s">
        <v>52</v>
      </c>
    </row>
    <row r="26" spans="1:3" x14ac:dyDescent="0.25">
      <c r="A26" s="29" t="s">
        <v>74</v>
      </c>
      <c r="B26" s="29" t="s">
        <v>51</v>
      </c>
      <c r="C26" s="29" t="s">
        <v>75</v>
      </c>
    </row>
    <row r="27" spans="1:3" x14ac:dyDescent="0.25">
      <c r="A27" s="32" t="s">
        <v>74</v>
      </c>
      <c r="B27" s="32" t="s">
        <v>90</v>
      </c>
      <c r="C27" s="32" t="s">
        <v>75</v>
      </c>
    </row>
    <row r="28" spans="1:3" x14ac:dyDescent="0.25">
      <c r="A28" s="29" t="s">
        <v>78</v>
      </c>
      <c r="B28" s="29" t="s">
        <v>79</v>
      </c>
      <c r="C28" s="29" t="s">
        <v>75</v>
      </c>
    </row>
    <row r="29" spans="1:3" x14ac:dyDescent="0.25">
      <c r="A29" s="32" t="s">
        <v>50</v>
      </c>
      <c r="B29" s="32" t="s">
        <v>90</v>
      </c>
      <c r="C29" s="32" t="s">
        <v>75</v>
      </c>
    </row>
    <row r="30" spans="1:3" x14ac:dyDescent="0.25">
      <c r="A30" s="29" t="s">
        <v>50</v>
      </c>
      <c r="B30" s="29" t="s">
        <v>51</v>
      </c>
      <c r="C30" s="29" t="s">
        <v>52</v>
      </c>
    </row>
    <row r="31" spans="1:3" x14ac:dyDescent="0.25">
      <c r="A31" s="32" t="s">
        <v>50</v>
      </c>
      <c r="B31" s="32" t="s">
        <v>51</v>
      </c>
      <c r="C31" s="32" t="s">
        <v>52</v>
      </c>
    </row>
    <row r="32" spans="1:3" x14ac:dyDescent="0.25">
      <c r="A32" s="29" t="s">
        <v>50</v>
      </c>
      <c r="B32" s="29" t="s">
        <v>51</v>
      </c>
      <c r="C32" s="29" t="s">
        <v>75</v>
      </c>
    </row>
    <row r="33" spans="1:3" x14ac:dyDescent="0.25">
      <c r="A33" s="32" t="s">
        <v>50</v>
      </c>
      <c r="B33" s="32" t="s">
        <v>51</v>
      </c>
      <c r="C33" s="32" t="s">
        <v>52</v>
      </c>
    </row>
    <row r="34" spans="1:3" x14ac:dyDescent="0.25">
      <c r="A34" s="29" t="s">
        <v>50</v>
      </c>
      <c r="B34" s="29" t="s">
        <v>79</v>
      </c>
      <c r="C34" s="29" t="s">
        <v>75</v>
      </c>
    </row>
    <row r="35" spans="1:3" x14ac:dyDescent="0.25">
      <c r="A35" s="32" t="s">
        <v>50</v>
      </c>
      <c r="B35" s="32" t="s">
        <v>51</v>
      </c>
      <c r="C35" s="32" t="s">
        <v>52</v>
      </c>
    </row>
    <row r="36" spans="1:3" x14ac:dyDescent="0.25">
      <c r="A36" s="29" t="s">
        <v>74</v>
      </c>
      <c r="B36" s="29" t="s">
        <v>90</v>
      </c>
      <c r="C36" s="29" t="s">
        <v>52</v>
      </c>
    </row>
    <row r="37" spans="1:3" x14ac:dyDescent="0.25">
      <c r="A37" s="32" t="s">
        <v>78</v>
      </c>
      <c r="B37" s="32" t="s">
        <v>79</v>
      </c>
      <c r="C37" s="32" t="s">
        <v>52</v>
      </c>
    </row>
    <row r="38" spans="1:3" x14ac:dyDescent="0.25">
      <c r="A38" s="29" t="s">
        <v>74</v>
      </c>
      <c r="B38" s="29" t="s">
        <v>79</v>
      </c>
      <c r="C38" s="29" t="s">
        <v>75</v>
      </c>
    </row>
    <row r="39" spans="1:3" x14ac:dyDescent="0.25">
      <c r="A39" s="32" t="s">
        <v>74</v>
      </c>
      <c r="B39" s="32" t="s">
        <v>79</v>
      </c>
      <c r="C39" s="32" t="s">
        <v>75</v>
      </c>
    </row>
    <row r="40" spans="1:3" x14ac:dyDescent="0.25">
      <c r="A40" s="29" t="s">
        <v>74</v>
      </c>
      <c r="B40" s="29" t="s">
        <v>51</v>
      </c>
      <c r="C40" s="29" t="s">
        <v>52</v>
      </c>
    </row>
    <row r="41" spans="1:3" x14ac:dyDescent="0.25">
      <c r="A41" s="32" t="s">
        <v>50</v>
      </c>
      <c r="B41" s="32" t="s">
        <v>90</v>
      </c>
      <c r="C41" s="32" t="s">
        <v>75</v>
      </c>
    </row>
    <row r="42" spans="1:3" x14ac:dyDescent="0.25">
      <c r="A42" s="29" t="s">
        <v>64</v>
      </c>
      <c r="B42" s="29" t="s">
        <v>51</v>
      </c>
      <c r="C42" s="29" t="s">
        <v>75</v>
      </c>
    </row>
    <row r="43" spans="1:3" x14ac:dyDescent="0.25">
      <c r="A43" s="32" t="s">
        <v>78</v>
      </c>
      <c r="B43" s="32" t="s">
        <v>90</v>
      </c>
      <c r="C43" s="32" t="s">
        <v>75</v>
      </c>
    </row>
    <row r="44" spans="1:3" x14ac:dyDescent="0.25">
      <c r="A44" s="29" t="s">
        <v>50</v>
      </c>
      <c r="B44" s="29" t="s">
        <v>90</v>
      </c>
      <c r="C44" s="29" t="s">
        <v>52</v>
      </c>
    </row>
    <row r="45" spans="1:3" x14ac:dyDescent="0.25">
      <c r="A45" s="32" t="s">
        <v>78</v>
      </c>
      <c r="B45" s="32" t="s">
        <v>90</v>
      </c>
      <c r="C45" s="32" t="s">
        <v>75</v>
      </c>
    </row>
    <row r="46" spans="1:3" x14ac:dyDescent="0.25">
      <c r="A46" s="29" t="s">
        <v>78</v>
      </c>
      <c r="B46" s="29" t="s">
        <v>79</v>
      </c>
      <c r="C46" s="29" t="s">
        <v>52</v>
      </c>
    </row>
    <row r="47" spans="1:3" x14ac:dyDescent="0.25">
      <c r="A47" s="32" t="s">
        <v>50</v>
      </c>
      <c r="B47" s="32" t="s">
        <v>90</v>
      </c>
      <c r="C47" s="32" t="s">
        <v>75</v>
      </c>
    </row>
    <row r="48" spans="1:3" x14ac:dyDescent="0.25">
      <c r="A48" s="29" t="s">
        <v>64</v>
      </c>
      <c r="B48" s="29" t="s">
        <v>90</v>
      </c>
      <c r="C48" s="29" t="s">
        <v>75</v>
      </c>
    </row>
    <row r="49" spans="1:3" x14ac:dyDescent="0.25">
      <c r="A49" s="32" t="s">
        <v>74</v>
      </c>
      <c r="B49" s="32" t="s">
        <v>90</v>
      </c>
      <c r="C49" s="32" t="s">
        <v>52</v>
      </c>
    </row>
    <row r="50" spans="1:3" x14ac:dyDescent="0.25">
      <c r="A50" s="29" t="s">
        <v>64</v>
      </c>
      <c r="B50" s="29" t="s">
        <v>90</v>
      </c>
      <c r="C50" s="29" t="s">
        <v>75</v>
      </c>
    </row>
    <row r="51" spans="1:3" x14ac:dyDescent="0.25">
      <c r="A51" s="32" t="s">
        <v>50</v>
      </c>
      <c r="B51" s="32" t="s">
        <v>90</v>
      </c>
      <c r="C51" s="32" t="s">
        <v>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4AA1A-9479-4D6B-8DA8-6DF45EA7E382}">
  <dimension ref="A1:J200"/>
  <sheetViews>
    <sheetView topLeftCell="A175" zoomScaleNormal="100" workbookViewId="0">
      <selection activeCell="A203" sqref="A203"/>
    </sheetView>
  </sheetViews>
  <sheetFormatPr defaultRowHeight="13.2" x14ac:dyDescent="0.25"/>
  <cols>
    <col min="1" max="1" width="114.88671875" bestFit="1" customWidth="1"/>
    <col min="2" max="2" width="104.77734375" bestFit="1" customWidth="1"/>
    <col min="3" max="3" width="116" bestFit="1" customWidth="1"/>
    <col min="4" max="4" width="134.109375" bestFit="1" customWidth="1"/>
    <col min="5" max="5" width="121.109375" bestFit="1" customWidth="1"/>
    <col min="6" max="6" width="125.88671875" bestFit="1" customWidth="1"/>
    <col min="7" max="7" width="129.21875" bestFit="1" customWidth="1"/>
    <col min="8" max="8" width="118.5546875" bestFit="1" customWidth="1"/>
    <col min="9" max="9" width="116" bestFit="1" customWidth="1"/>
    <col min="10" max="10" width="132.6640625" bestFit="1" customWidth="1"/>
  </cols>
  <sheetData>
    <row r="1" spans="1:10" x14ac:dyDescent="0.25">
      <c r="A1" s="34" t="s">
        <v>31</v>
      </c>
      <c r="B1" s="34" t="s">
        <v>32</v>
      </c>
      <c r="C1" s="34" t="s">
        <v>33</v>
      </c>
      <c r="D1" s="34" t="s">
        <v>34</v>
      </c>
      <c r="E1" s="34" t="s">
        <v>35</v>
      </c>
      <c r="F1" s="34" t="s">
        <v>36</v>
      </c>
      <c r="G1" s="34" t="s">
        <v>37</v>
      </c>
      <c r="H1" s="34" t="s">
        <v>38</v>
      </c>
      <c r="I1" s="34" t="s">
        <v>39</v>
      </c>
      <c r="J1" s="35" t="s">
        <v>40</v>
      </c>
    </row>
    <row r="2" spans="1:10" x14ac:dyDescent="0.25">
      <c r="A2" s="29">
        <v>5</v>
      </c>
      <c r="B2" s="29">
        <v>4</v>
      </c>
      <c r="C2" s="29">
        <v>4</v>
      </c>
      <c r="D2" s="29">
        <v>4</v>
      </c>
      <c r="E2" s="29">
        <v>3</v>
      </c>
      <c r="F2" s="29">
        <v>3</v>
      </c>
      <c r="G2" s="29">
        <v>3</v>
      </c>
      <c r="H2" s="29">
        <v>3</v>
      </c>
      <c r="I2" s="29">
        <v>5</v>
      </c>
      <c r="J2" s="36">
        <v>2</v>
      </c>
    </row>
    <row r="3" spans="1:10" x14ac:dyDescent="0.25">
      <c r="A3" s="32">
        <v>5</v>
      </c>
      <c r="B3" s="32">
        <v>4</v>
      </c>
      <c r="C3" s="32">
        <v>5</v>
      </c>
      <c r="D3" s="32">
        <v>5</v>
      </c>
      <c r="E3" s="32">
        <v>2</v>
      </c>
      <c r="F3" s="32">
        <v>4</v>
      </c>
      <c r="G3" s="32">
        <v>1</v>
      </c>
      <c r="H3" s="32">
        <v>1</v>
      </c>
      <c r="I3" s="32">
        <v>1</v>
      </c>
      <c r="J3" s="37">
        <v>1</v>
      </c>
    </row>
    <row r="4" spans="1:10" x14ac:dyDescent="0.25">
      <c r="A4" s="29">
        <v>4</v>
      </c>
      <c r="B4" s="29">
        <v>2</v>
      </c>
      <c r="C4" s="29">
        <v>5</v>
      </c>
      <c r="D4" s="29">
        <v>5</v>
      </c>
      <c r="E4" s="29">
        <v>3</v>
      </c>
      <c r="F4" s="29">
        <v>5</v>
      </c>
      <c r="G4" s="29">
        <v>3</v>
      </c>
      <c r="H4" s="29">
        <v>5</v>
      </c>
      <c r="I4" s="29">
        <v>1</v>
      </c>
      <c r="J4" s="36">
        <v>1</v>
      </c>
    </row>
    <row r="5" spans="1:10" x14ac:dyDescent="0.25">
      <c r="A5" s="32">
        <v>2</v>
      </c>
      <c r="B5" s="32">
        <v>3</v>
      </c>
      <c r="C5" s="32">
        <v>4</v>
      </c>
      <c r="D5" s="32">
        <v>5</v>
      </c>
      <c r="E5" s="32">
        <v>3</v>
      </c>
      <c r="F5" s="32">
        <v>1</v>
      </c>
      <c r="G5" s="32">
        <v>2</v>
      </c>
      <c r="H5" s="32">
        <v>3</v>
      </c>
      <c r="I5" s="32">
        <v>2</v>
      </c>
      <c r="J5" s="37">
        <v>2</v>
      </c>
    </row>
    <row r="6" spans="1:10" x14ac:dyDescent="0.25">
      <c r="A6" s="29">
        <v>4</v>
      </c>
      <c r="B6" s="29">
        <v>5</v>
      </c>
      <c r="C6" s="29">
        <v>4</v>
      </c>
      <c r="D6" s="29">
        <v>4</v>
      </c>
      <c r="E6" s="29">
        <v>3</v>
      </c>
      <c r="F6" s="29">
        <v>3</v>
      </c>
      <c r="G6" s="29">
        <v>3</v>
      </c>
      <c r="H6" s="29">
        <v>4</v>
      </c>
      <c r="I6" s="29">
        <v>4</v>
      </c>
      <c r="J6" s="36">
        <v>4</v>
      </c>
    </row>
    <row r="7" spans="1:10" x14ac:dyDescent="0.25">
      <c r="A7" s="32">
        <v>1</v>
      </c>
      <c r="B7" s="32">
        <v>1</v>
      </c>
      <c r="C7" s="32">
        <v>1</v>
      </c>
      <c r="D7" s="32">
        <v>1</v>
      </c>
      <c r="E7" s="32">
        <v>4</v>
      </c>
      <c r="F7" s="32">
        <v>4</v>
      </c>
      <c r="G7" s="32">
        <v>2</v>
      </c>
      <c r="H7" s="32">
        <v>4</v>
      </c>
      <c r="I7" s="32">
        <v>4</v>
      </c>
      <c r="J7" s="37">
        <v>4</v>
      </c>
    </row>
    <row r="8" spans="1:10" x14ac:dyDescent="0.25">
      <c r="A8" s="29">
        <v>5</v>
      </c>
      <c r="B8" s="29">
        <v>2</v>
      </c>
      <c r="C8" s="29">
        <v>3</v>
      </c>
      <c r="D8" s="29">
        <v>5</v>
      </c>
      <c r="E8" s="29">
        <v>5</v>
      </c>
      <c r="F8" s="29">
        <v>2</v>
      </c>
      <c r="G8" s="29">
        <v>3</v>
      </c>
      <c r="H8" s="29">
        <v>3</v>
      </c>
      <c r="I8" s="29">
        <v>1</v>
      </c>
      <c r="J8" s="36">
        <v>4</v>
      </c>
    </row>
    <row r="9" spans="1:10" x14ac:dyDescent="0.25">
      <c r="A9" s="32">
        <v>2</v>
      </c>
      <c r="B9" s="32">
        <v>2</v>
      </c>
      <c r="C9" s="32">
        <v>1</v>
      </c>
      <c r="D9" s="32">
        <v>2</v>
      </c>
      <c r="E9" s="32">
        <v>2</v>
      </c>
      <c r="F9" s="32">
        <v>3</v>
      </c>
      <c r="G9" s="32">
        <v>3</v>
      </c>
      <c r="H9" s="32">
        <v>3</v>
      </c>
      <c r="I9" s="32">
        <v>1</v>
      </c>
      <c r="J9" s="37">
        <v>3</v>
      </c>
    </row>
    <row r="10" spans="1:10" x14ac:dyDescent="0.25">
      <c r="A10" s="29">
        <v>2</v>
      </c>
      <c r="B10" s="29">
        <v>2</v>
      </c>
      <c r="C10" s="29">
        <v>2</v>
      </c>
      <c r="D10" s="29">
        <v>2</v>
      </c>
      <c r="E10" s="29">
        <v>2</v>
      </c>
      <c r="F10" s="29">
        <v>2</v>
      </c>
      <c r="G10" s="29">
        <v>2</v>
      </c>
      <c r="H10" s="29">
        <v>2</v>
      </c>
      <c r="I10" s="29">
        <v>2</v>
      </c>
      <c r="J10" s="36">
        <v>2</v>
      </c>
    </row>
    <row r="11" spans="1:10" x14ac:dyDescent="0.25">
      <c r="A11" s="32">
        <v>4</v>
      </c>
      <c r="B11" s="32">
        <v>4</v>
      </c>
      <c r="C11" s="32">
        <v>4</v>
      </c>
      <c r="D11" s="32">
        <v>4</v>
      </c>
      <c r="E11" s="32">
        <v>4</v>
      </c>
      <c r="F11" s="32">
        <v>1</v>
      </c>
      <c r="G11" s="32">
        <v>4</v>
      </c>
      <c r="H11" s="32">
        <v>4</v>
      </c>
      <c r="I11" s="32">
        <v>1</v>
      </c>
      <c r="J11" s="37">
        <v>1</v>
      </c>
    </row>
    <row r="12" spans="1:10" x14ac:dyDescent="0.25">
      <c r="A12" s="29">
        <v>4</v>
      </c>
      <c r="B12" s="29">
        <v>3</v>
      </c>
      <c r="C12" s="29">
        <v>4</v>
      </c>
      <c r="D12" s="29">
        <v>3</v>
      </c>
      <c r="E12" s="29">
        <v>2</v>
      </c>
      <c r="F12" s="29">
        <v>3</v>
      </c>
      <c r="G12" s="29">
        <v>5</v>
      </c>
      <c r="H12" s="29">
        <v>4</v>
      </c>
      <c r="I12" s="29">
        <v>2</v>
      </c>
      <c r="J12" s="36">
        <v>3</v>
      </c>
    </row>
    <row r="13" spans="1:10" x14ac:dyDescent="0.25">
      <c r="A13" s="32">
        <v>2</v>
      </c>
      <c r="B13" s="32">
        <v>2</v>
      </c>
      <c r="C13" s="32">
        <v>2</v>
      </c>
      <c r="D13" s="32">
        <v>2</v>
      </c>
      <c r="E13" s="32">
        <v>2</v>
      </c>
      <c r="F13" s="32">
        <v>2</v>
      </c>
      <c r="G13" s="32">
        <v>2</v>
      </c>
      <c r="H13" s="32">
        <v>2</v>
      </c>
      <c r="I13" s="32">
        <v>2</v>
      </c>
      <c r="J13" s="37">
        <v>2</v>
      </c>
    </row>
    <row r="14" spans="1:10" x14ac:dyDescent="0.25">
      <c r="A14" s="29">
        <v>5</v>
      </c>
      <c r="B14" s="29">
        <v>4</v>
      </c>
      <c r="C14" s="29">
        <v>2</v>
      </c>
      <c r="D14" s="29">
        <v>4</v>
      </c>
      <c r="E14" s="29">
        <v>4</v>
      </c>
      <c r="F14" s="29">
        <v>4</v>
      </c>
      <c r="G14" s="29">
        <v>3</v>
      </c>
      <c r="H14" s="29">
        <v>4</v>
      </c>
      <c r="I14" s="29">
        <v>2</v>
      </c>
      <c r="J14" s="36">
        <v>3</v>
      </c>
    </row>
    <row r="15" spans="1:10" x14ac:dyDescent="0.25">
      <c r="A15" s="32">
        <v>5</v>
      </c>
      <c r="B15" s="32">
        <v>3</v>
      </c>
      <c r="C15" s="32">
        <v>3</v>
      </c>
      <c r="D15" s="32">
        <v>5</v>
      </c>
      <c r="E15" s="32">
        <v>4</v>
      </c>
      <c r="F15" s="32">
        <v>3</v>
      </c>
      <c r="G15" s="32">
        <v>3</v>
      </c>
      <c r="H15" s="32">
        <v>3</v>
      </c>
      <c r="I15" s="32">
        <v>3</v>
      </c>
      <c r="J15" s="37">
        <v>1</v>
      </c>
    </row>
    <row r="16" spans="1:10" x14ac:dyDescent="0.25">
      <c r="A16" s="29">
        <v>3</v>
      </c>
      <c r="B16" s="29">
        <v>3</v>
      </c>
      <c r="C16" s="29">
        <v>4</v>
      </c>
      <c r="D16" s="29">
        <v>2</v>
      </c>
      <c r="E16" s="29">
        <v>2</v>
      </c>
      <c r="F16" s="29">
        <v>4</v>
      </c>
      <c r="G16" s="29">
        <v>2</v>
      </c>
      <c r="H16" s="29">
        <v>2</v>
      </c>
      <c r="I16" s="29">
        <v>2</v>
      </c>
      <c r="J16" s="36">
        <v>2</v>
      </c>
    </row>
    <row r="17" spans="1:10" x14ac:dyDescent="0.25">
      <c r="A17" s="32">
        <v>5</v>
      </c>
      <c r="B17" s="32">
        <v>4</v>
      </c>
      <c r="C17" s="32">
        <v>4</v>
      </c>
      <c r="D17" s="32">
        <v>5</v>
      </c>
      <c r="E17" s="32">
        <v>2</v>
      </c>
      <c r="F17" s="32">
        <v>1</v>
      </c>
      <c r="G17" s="32">
        <v>1</v>
      </c>
      <c r="H17" s="32">
        <v>1</v>
      </c>
      <c r="I17" s="32">
        <v>1</v>
      </c>
      <c r="J17" s="37">
        <v>1</v>
      </c>
    </row>
    <row r="18" spans="1:10" x14ac:dyDescent="0.25">
      <c r="A18" s="29">
        <v>3</v>
      </c>
      <c r="B18" s="29">
        <v>3</v>
      </c>
      <c r="C18" s="29">
        <v>3</v>
      </c>
      <c r="D18" s="29">
        <v>3</v>
      </c>
      <c r="E18" s="29">
        <v>3</v>
      </c>
      <c r="F18" s="29">
        <v>3</v>
      </c>
      <c r="G18" s="29">
        <v>3</v>
      </c>
      <c r="H18" s="29">
        <v>3</v>
      </c>
      <c r="I18" s="29">
        <v>3</v>
      </c>
      <c r="J18" s="36">
        <v>3</v>
      </c>
    </row>
    <row r="19" spans="1:10" x14ac:dyDescent="0.25">
      <c r="A19" s="32">
        <v>3</v>
      </c>
      <c r="B19" s="32">
        <v>3</v>
      </c>
      <c r="C19" s="32">
        <v>2</v>
      </c>
      <c r="D19" s="32">
        <v>2</v>
      </c>
      <c r="E19" s="32">
        <v>3</v>
      </c>
      <c r="F19" s="32">
        <v>3</v>
      </c>
      <c r="G19" s="32">
        <v>1</v>
      </c>
      <c r="H19" s="32">
        <v>3</v>
      </c>
      <c r="I19" s="32">
        <v>2</v>
      </c>
      <c r="J19" s="37">
        <v>2</v>
      </c>
    </row>
    <row r="20" spans="1:10" x14ac:dyDescent="0.25">
      <c r="A20" s="29">
        <v>1</v>
      </c>
      <c r="B20" s="29">
        <v>2</v>
      </c>
      <c r="C20" s="29">
        <v>1</v>
      </c>
      <c r="D20" s="29">
        <v>2</v>
      </c>
      <c r="E20" s="29">
        <v>3</v>
      </c>
      <c r="F20" s="29">
        <v>2</v>
      </c>
      <c r="G20" s="29">
        <v>1</v>
      </c>
      <c r="H20" s="29">
        <v>2</v>
      </c>
      <c r="I20" s="29">
        <v>1</v>
      </c>
      <c r="J20" s="36">
        <v>2</v>
      </c>
    </row>
    <row r="21" spans="1:10" x14ac:dyDescent="0.25">
      <c r="A21" s="32">
        <v>2</v>
      </c>
      <c r="B21" s="32">
        <v>2</v>
      </c>
      <c r="C21" s="32">
        <v>2</v>
      </c>
      <c r="D21" s="32">
        <v>2</v>
      </c>
      <c r="E21" s="32">
        <v>2</v>
      </c>
      <c r="F21" s="32">
        <v>2</v>
      </c>
      <c r="G21" s="32">
        <v>2</v>
      </c>
      <c r="H21" s="32">
        <v>2</v>
      </c>
      <c r="I21" s="32">
        <v>2</v>
      </c>
      <c r="J21" s="37">
        <v>2</v>
      </c>
    </row>
    <row r="22" spans="1:10" x14ac:dyDescent="0.25">
      <c r="A22" s="29">
        <v>3</v>
      </c>
      <c r="B22" s="29">
        <v>3</v>
      </c>
      <c r="C22" s="29">
        <v>3</v>
      </c>
      <c r="D22" s="29">
        <v>2</v>
      </c>
      <c r="E22" s="29">
        <v>2</v>
      </c>
      <c r="F22" s="29">
        <v>1</v>
      </c>
      <c r="G22" s="29">
        <v>3</v>
      </c>
      <c r="H22" s="29">
        <v>2</v>
      </c>
      <c r="I22" s="29">
        <v>2</v>
      </c>
      <c r="J22" s="36">
        <v>1</v>
      </c>
    </row>
    <row r="23" spans="1:10" x14ac:dyDescent="0.25">
      <c r="A23" s="32">
        <v>3</v>
      </c>
      <c r="B23" s="32">
        <v>2</v>
      </c>
      <c r="C23" s="32">
        <v>2</v>
      </c>
      <c r="D23" s="32">
        <v>2</v>
      </c>
      <c r="E23" s="32">
        <v>3</v>
      </c>
      <c r="F23" s="32">
        <v>3</v>
      </c>
      <c r="G23" s="32">
        <v>3</v>
      </c>
      <c r="H23" s="32">
        <v>2</v>
      </c>
      <c r="I23" s="32">
        <v>2</v>
      </c>
      <c r="J23" s="37">
        <v>1</v>
      </c>
    </row>
    <row r="24" spans="1:10" x14ac:dyDescent="0.25">
      <c r="A24" s="29">
        <v>5</v>
      </c>
      <c r="B24" s="29">
        <v>4</v>
      </c>
      <c r="C24" s="29">
        <v>3</v>
      </c>
      <c r="D24" s="29">
        <v>5</v>
      </c>
      <c r="E24" s="29">
        <v>2</v>
      </c>
      <c r="F24" s="29">
        <v>1</v>
      </c>
      <c r="G24" s="29">
        <v>1</v>
      </c>
      <c r="H24" s="29">
        <v>4</v>
      </c>
      <c r="I24" s="29">
        <v>1</v>
      </c>
      <c r="J24" s="36">
        <v>1</v>
      </c>
    </row>
    <row r="25" spans="1:10" x14ac:dyDescent="0.25">
      <c r="A25" s="32">
        <v>1</v>
      </c>
      <c r="B25" s="32">
        <v>1</v>
      </c>
      <c r="C25" s="32">
        <v>1</v>
      </c>
      <c r="D25" s="32">
        <v>1</v>
      </c>
      <c r="E25" s="32">
        <v>1</v>
      </c>
      <c r="F25" s="32">
        <v>1</v>
      </c>
      <c r="G25" s="32">
        <v>1</v>
      </c>
      <c r="H25" s="32">
        <v>1</v>
      </c>
      <c r="I25" s="32">
        <v>1</v>
      </c>
      <c r="J25" s="37">
        <v>1</v>
      </c>
    </row>
    <row r="26" spans="1:10" x14ac:dyDescent="0.25">
      <c r="A26" s="29">
        <v>5</v>
      </c>
      <c r="B26" s="29">
        <v>4</v>
      </c>
      <c r="C26" s="29">
        <v>3</v>
      </c>
      <c r="D26" s="29">
        <v>5</v>
      </c>
      <c r="E26" s="29">
        <v>4</v>
      </c>
      <c r="F26" s="29">
        <v>1</v>
      </c>
      <c r="G26" s="29">
        <v>1</v>
      </c>
      <c r="H26" s="29">
        <v>3</v>
      </c>
      <c r="I26" s="29">
        <v>2</v>
      </c>
      <c r="J26" s="36">
        <v>1</v>
      </c>
    </row>
    <row r="27" spans="1:10" x14ac:dyDescent="0.25">
      <c r="A27" s="32">
        <v>4</v>
      </c>
      <c r="B27" s="32">
        <v>3</v>
      </c>
      <c r="C27" s="32">
        <v>3</v>
      </c>
      <c r="D27" s="32">
        <v>4</v>
      </c>
      <c r="E27" s="32">
        <v>4</v>
      </c>
      <c r="F27" s="32">
        <v>4</v>
      </c>
      <c r="G27" s="32">
        <v>4</v>
      </c>
      <c r="H27" s="32">
        <v>4</v>
      </c>
      <c r="I27" s="32">
        <v>4</v>
      </c>
      <c r="J27" s="37">
        <v>3</v>
      </c>
    </row>
    <row r="28" spans="1:10" x14ac:dyDescent="0.25">
      <c r="A28" s="29">
        <v>3</v>
      </c>
      <c r="B28" s="29">
        <v>3</v>
      </c>
      <c r="C28" s="29">
        <v>3</v>
      </c>
      <c r="D28" s="29">
        <v>3</v>
      </c>
      <c r="E28" s="29">
        <v>3</v>
      </c>
      <c r="F28" s="29">
        <v>3</v>
      </c>
      <c r="G28" s="29">
        <v>3</v>
      </c>
      <c r="H28" s="29">
        <v>3</v>
      </c>
      <c r="I28" s="29">
        <v>3</v>
      </c>
      <c r="J28" s="36">
        <v>3</v>
      </c>
    </row>
    <row r="29" spans="1:10" x14ac:dyDescent="0.25">
      <c r="A29" s="32">
        <v>5</v>
      </c>
      <c r="B29" s="32">
        <v>3</v>
      </c>
      <c r="C29" s="32">
        <v>2</v>
      </c>
      <c r="D29" s="32">
        <v>5</v>
      </c>
      <c r="E29" s="32">
        <v>4</v>
      </c>
      <c r="F29" s="32">
        <v>5</v>
      </c>
      <c r="G29" s="32">
        <v>3</v>
      </c>
      <c r="H29" s="32">
        <v>4</v>
      </c>
      <c r="I29" s="32">
        <v>2</v>
      </c>
      <c r="J29" s="37">
        <v>1</v>
      </c>
    </row>
    <row r="30" spans="1:10" x14ac:dyDescent="0.25">
      <c r="A30" s="29">
        <v>5</v>
      </c>
      <c r="B30" s="29">
        <v>2</v>
      </c>
      <c r="C30" s="29">
        <v>3</v>
      </c>
      <c r="D30" s="29">
        <v>4</v>
      </c>
      <c r="E30" s="29">
        <v>5</v>
      </c>
      <c r="F30" s="29">
        <v>5</v>
      </c>
      <c r="G30" s="29">
        <v>5</v>
      </c>
      <c r="H30" s="29">
        <v>5</v>
      </c>
      <c r="I30" s="29">
        <v>1</v>
      </c>
      <c r="J30" s="36">
        <v>2</v>
      </c>
    </row>
    <row r="31" spans="1:10" x14ac:dyDescent="0.25">
      <c r="A31" s="32">
        <v>5</v>
      </c>
      <c r="B31" s="32">
        <v>4</v>
      </c>
      <c r="C31" s="32">
        <v>4</v>
      </c>
      <c r="D31" s="32">
        <v>3</v>
      </c>
      <c r="E31" s="32">
        <v>1</v>
      </c>
      <c r="F31" s="32">
        <v>2</v>
      </c>
      <c r="G31" s="32">
        <v>2</v>
      </c>
      <c r="H31" s="32">
        <v>1</v>
      </c>
      <c r="I31" s="32">
        <v>1</v>
      </c>
      <c r="J31" s="37">
        <v>3</v>
      </c>
    </row>
    <row r="32" spans="1:10" x14ac:dyDescent="0.25">
      <c r="A32" s="29">
        <v>5</v>
      </c>
      <c r="B32" s="29">
        <v>3</v>
      </c>
      <c r="C32" s="29">
        <v>3</v>
      </c>
      <c r="D32" s="29">
        <v>4</v>
      </c>
      <c r="E32" s="29">
        <v>3</v>
      </c>
      <c r="F32" s="29">
        <v>3</v>
      </c>
      <c r="G32" s="29">
        <v>5</v>
      </c>
      <c r="H32" s="29">
        <v>3</v>
      </c>
      <c r="I32" s="29">
        <v>5</v>
      </c>
      <c r="J32" s="36">
        <v>2</v>
      </c>
    </row>
    <row r="33" spans="1:10" x14ac:dyDescent="0.25">
      <c r="A33" s="32">
        <v>4</v>
      </c>
      <c r="B33" s="32">
        <v>4</v>
      </c>
      <c r="C33" s="32">
        <v>4</v>
      </c>
      <c r="D33" s="32">
        <v>5</v>
      </c>
      <c r="E33" s="32">
        <v>1</v>
      </c>
      <c r="F33" s="32">
        <v>5</v>
      </c>
      <c r="G33" s="32">
        <v>5</v>
      </c>
      <c r="H33" s="32">
        <v>5</v>
      </c>
      <c r="I33" s="32">
        <v>2</v>
      </c>
      <c r="J33" s="37">
        <v>4</v>
      </c>
    </row>
    <row r="34" spans="1:10" x14ac:dyDescent="0.25">
      <c r="A34" s="29">
        <v>1</v>
      </c>
      <c r="B34" s="29">
        <v>1</v>
      </c>
      <c r="C34" s="29">
        <v>1</v>
      </c>
      <c r="D34" s="29">
        <v>1</v>
      </c>
      <c r="E34" s="29">
        <v>3</v>
      </c>
      <c r="F34" s="29">
        <v>3</v>
      </c>
      <c r="G34" s="29">
        <v>3</v>
      </c>
      <c r="H34" s="29">
        <v>3</v>
      </c>
      <c r="I34" s="29">
        <v>3</v>
      </c>
      <c r="J34" s="36">
        <v>3</v>
      </c>
    </row>
    <row r="35" spans="1:10" x14ac:dyDescent="0.25">
      <c r="A35" s="32">
        <v>5</v>
      </c>
      <c r="B35" s="32">
        <v>5</v>
      </c>
      <c r="C35" s="32">
        <v>5</v>
      </c>
      <c r="D35" s="32">
        <v>5</v>
      </c>
      <c r="E35" s="32">
        <v>1</v>
      </c>
      <c r="F35" s="32">
        <v>1</v>
      </c>
      <c r="G35" s="32">
        <v>1</v>
      </c>
      <c r="H35" s="32">
        <v>1</v>
      </c>
      <c r="I35" s="32">
        <v>1</v>
      </c>
      <c r="J35" s="37">
        <v>4</v>
      </c>
    </row>
    <row r="36" spans="1:10" x14ac:dyDescent="0.25">
      <c r="A36" s="29">
        <v>2</v>
      </c>
      <c r="B36" s="29">
        <v>2</v>
      </c>
      <c r="C36" s="29">
        <v>1</v>
      </c>
      <c r="D36" s="29">
        <v>3</v>
      </c>
      <c r="E36" s="29">
        <v>3</v>
      </c>
      <c r="F36" s="29">
        <v>4</v>
      </c>
      <c r="G36" s="29">
        <v>3</v>
      </c>
      <c r="H36" s="29">
        <v>4</v>
      </c>
      <c r="I36" s="29">
        <v>1</v>
      </c>
      <c r="J36" s="36">
        <v>2</v>
      </c>
    </row>
    <row r="37" spans="1:10" x14ac:dyDescent="0.25">
      <c r="A37" s="32">
        <v>5</v>
      </c>
      <c r="B37" s="32">
        <v>5</v>
      </c>
      <c r="C37" s="32">
        <v>5</v>
      </c>
      <c r="D37" s="32">
        <v>5</v>
      </c>
      <c r="E37" s="32">
        <v>1</v>
      </c>
      <c r="F37" s="32">
        <v>1</v>
      </c>
      <c r="G37" s="32">
        <v>1</v>
      </c>
      <c r="H37" s="32">
        <v>4</v>
      </c>
      <c r="I37" s="32">
        <v>4</v>
      </c>
      <c r="J37" s="37">
        <v>4</v>
      </c>
    </row>
    <row r="38" spans="1:10" x14ac:dyDescent="0.25">
      <c r="A38" s="29">
        <v>1</v>
      </c>
      <c r="B38" s="29">
        <v>1</v>
      </c>
      <c r="C38" s="29">
        <v>1</v>
      </c>
      <c r="D38" s="29">
        <v>1</v>
      </c>
      <c r="E38" s="29">
        <v>5</v>
      </c>
      <c r="F38" s="29">
        <v>5</v>
      </c>
      <c r="G38" s="29">
        <v>5</v>
      </c>
      <c r="H38" s="29">
        <v>5</v>
      </c>
      <c r="I38" s="29">
        <v>5</v>
      </c>
      <c r="J38" s="36">
        <v>5</v>
      </c>
    </row>
    <row r="39" spans="1:10" x14ac:dyDescent="0.25">
      <c r="A39" s="32">
        <v>5</v>
      </c>
      <c r="B39" s="32">
        <v>3</v>
      </c>
      <c r="C39" s="32">
        <v>2</v>
      </c>
      <c r="D39" s="32">
        <v>3</v>
      </c>
      <c r="E39" s="32">
        <v>2</v>
      </c>
      <c r="F39" s="32">
        <v>1</v>
      </c>
      <c r="G39" s="32">
        <v>3</v>
      </c>
      <c r="H39" s="32">
        <v>2</v>
      </c>
      <c r="I39" s="32">
        <v>5</v>
      </c>
      <c r="J39" s="37">
        <v>4</v>
      </c>
    </row>
    <row r="40" spans="1:10" x14ac:dyDescent="0.25">
      <c r="A40" s="29">
        <v>1</v>
      </c>
      <c r="B40" s="29">
        <v>1</v>
      </c>
      <c r="C40" s="29">
        <v>1</v>
      </c>
      <c r="D40" s="29">
        <v>1</v>
      </c>
      <c r="E40" s="29">
        <v>5</v>
      </c>
      <c r="F40" s="29">
        <v>5</v>
      </c>
      <c r="G40" s="29">
        <v>5</v>
      </c>
      <c r="H40" s="29">
        <v>5</v>
      </c>
      <c r="I40" s="29">
        <v>5</v>
      </c>
      <c r="J40" s="36">
        <v>5</v>
      </c>
    </row>
    <row r="41" spans="1:10" x14ac:dyDescent="0.25">
      <c r="A41" s="32">
        <v>1</v>
      </c>
      <c r="B41" s="32">
        <v>1</v>
      </c>
      <c r="C41" s="32">
        <v>1</v>
      </c>
      <c r="D41" s="32">
        <v>1</v>
      </c>
      <c r="E41" s="32">
        <v>5</v>
      </c>
      <c r="F41" s="32">
        <v>5</v>
      </c>
      <c r="G41" s="32">
        <v>5</v>
      </c>
      <c r="H41" s="32">
        <v>5</v>
      </c>
      <c r="I41" s="32">
        <v>5</v>
      </c>
      <c r="J41" s="37">
        <v>5</v>
      </c>
    </row>
    <row r="42" spans="1:10" x14ac:dyDescent="0.25">
      <c r="A42" s="29">
        <v>5</v>
      </c>
      <c r="B42" s="29">
        <v>2</v>
      </c>
      <c r="C42" s="29">
        <v>4</v>
      </c>
      <c r="D42" s="29">
        <v>3</v>
      </c>
      <c r="E42" s="29">
        <v>5</v>
      </c>
      <c r="F42" s="29">
        <v>3</v>
      </c>
      <c r="G42" s="29">
        <v>5</v>
      </c>
      <c r="H42" s="29">
        <v>2</v>
      </c>
      <c r="I42" s="29">
        <v>3</v>
      </c>
      <c r="J42" s="36">
        <v>5</v>
      </c>
    </row>
    <row r="43" spans="1:10" x14ac:dyDescent="0.25">
      <c r="A43" s="32">
        <v>3</v>
      </c>
      <c r="B43" s="32">
        <v>2</v>
      </c>
      <c r="C43" s="32">
        <v>4</v>
      </c>
      <c r="D43" s="32">
        <v>2</v>
      </c>
      <c r="E43" s="32">
        <v>4</v>
      </c>
      <c r="F43" s="32">
        <v>2</v>
      </c>
      <c r="G43" s="32">
        <v>3</v>
      </c>
      <c r="H43" s="32">
        <v>3</v>
      </c>
      <c r="I43" s="32">
        <v>2</v>
      </c>
      <c r="J43" s="37">
        <v>2</v>
      </c>
    </row>
    <row r="44" spans="1:10" x14ac:dyDescent="0.25">
      <c r="A44" s="29">
        <v>1</v>
      </c>
      <c r="B44" s="29">
        <v>1</v>
      </c>
      <c r="C44" s="29">
        <v>1</v>
      </c>
      <c r="D44" s="29">
        <v>1</v>
      </c>
      <c r="E44" s="29">
        <v>3</v>
      </c>
      <c r="F44" s="29">
        <v>3</v>
      </c>
      <c r="G44" s="29">
        <v>3</v>
      </c>
      <c r="H44" s="29">
        <v>1</v>
      </c>
      <c r="I44" s="29">
        <v>1</v>
      </c>
      <c r="J44" s="36">
        <v>4</v>
      </c>
    </row>
    <row r="45" spans="1:10" x14ac:dyDescent="0.25">
      <c r="A45" s="32">
        <v>1</v>
      </c>
      <c r="B45" s="32">
        <v>3</v>
      </c>
      <c r="C45" s="32">
        <v>1</v>
      </c>
      <c r="D45" s="32">
        <v>2</v>
      </c>
      <c r="E45" s="32">
        <v>3</v>
      </c>
      <c r="F45" s="32">
        <v>3</v>
      </c>
      <c r="G45" s="32">
        <v>3</v>
      </c>
      <c r="H45" s="32">
        <v>2</v>
      </c>
      <c r="I45" s="32">
        <v>3</v>
      </c>
      <c r="J45" s="37">
        <v>4</v>
      </c>
    </row>
    <row r="46" spans="1:10" x14ac:dyDescent="0.25">
      <c r="A46" s="29">
        <v>4</v>
      </c>
      <c r="B46" s="29">
        <v>3</v>
      </c>
      <c r="C46" s="29">
        <v>4</v>
      </c>
      <c r="D46" s="29">
        <v>3</v>
      </c>
      <c r="E46" s="29">
        <v>2</v>
      </c>
      <c r="F46" s="29">
        <v>3</v>
      </c>
      <c r="G46" s="29">
        <v>2</v>
      </c>
      <c r="H46" s="29">
        <v>3</v>
      </c>
      <c r="I46" s="29">
        <v>3</v>
      </c>
      <c r="J46" s="36">
        <v>4</v>
      </c>
    </row>
    <row r="47" spans="1:10" x14ac:dyDescent="0.25">
      <c r="A47" s="32">
        <v>4</v>
      </c>
      <c r="B47" s="32">
        <v>4</v>
      </c>
      <c r="C47" s="32">
        <v>3</v>
      </c>
      <c r="D47" s="32">
        <v>4</v>
      </c>
      <c r="E47" s="32">
        <v>2</v>
      </c>
      <c r="F47" s="32">
        <v>2</v>
      </c>
      <c r="G47" s="32">
        <v>3</v>
      </c>
      <c r="H47" s="32">
        <v>2</v>
      </c>
      <c r="I47" s="32">
        <v>3</v>
      </c>
      <c r="J47" s="37">
        <v>2</v>
      </c>
    </row>
    <row r="48" spans="1:10" x14ac:dyDescent="0.25">
      <c r="A48" s="29">
        <v>5</v>
      </c>
      <c r="B48" s="29">
        <v>5</v>
      </c>
      <c r="C48" s="29">
        <v>5</v>
      </c>
      <c r="D48" s="29">
        <v>5</v>
      </c>
      <c r="E48" s="29">
        <v>5</v>
      </c>
      <c r="F48" s="29">
        <v>1</v>
      </c>
      <c r="G48" s="29">
        <v>5</v>
      </c>
      <c r="H48" s="29">
        <v>1</v>
      </c>
      <c r="I48" s="29">
        <v>5</v>
      </c>
      <c r="J48" s="36">
        <v>5</v>
      </c>
    </row>
    <row r="49" spans="1:10" x14ac:dyDescent="0.25">
      <c r="A49" s="32">
        <v>3</v>
      </c>
      <c r="B49" s="32">
        <v>1</v>
      </c>
      <c r="C49" s="32">
        <v>2</v>
      </c>
      <c r="D49" s="32">
        <v>2</v>
      </c>
      <c r="E49" s="32">
        <v>3</v>
      </c>
      <c r="F49" s="32">
        <v>3</v>
      </c>
      <c r="G49" s="32">
        <v>1</v>
      </c>
      <c r="H49" s="32">
        <v>2</v>
      </c>
      <c r="I49" s="32">
        <v>4</v>
      </c>
      <c r="J49" s="37">
        <v>2</v>
      </c>
    </row>
    <row r="50" spans="1:10" x14ac:dyDescent="0.25">
      <c r="A50" s="29">
        <v>2</v>
      </c>
      <c r="B50" s="29">
        <v>3</v>
      </c>
      <c r="C50" s="29">
        <v>1</v>
      </c>
      <c r="D50" s="29">
        <v>3</v>
      </c>
      <c r="E50" s="29">
        <v>3</v>
      </c>
      <c r="F50" s="29">
        <v>1</v>
      </c>
      <c r="G50" s="29">
        <v>1</v>
      </c>
      <c r="H50" s="29">
        <v>1</v>
      </c>
      <c r="I50" s="29">
        <v>1</v>
      </c>
      <c r="J50" s="36">
        <v>1</v>
      </c>
    </row>
    <row r="51" spans="1:10" x14ac:dyDescent="0.25">
      <c r="A51" s="40">
        <v>3</v>
      </c>
      <c r="B51" s="40">
        <v>3</v>
      </c>
      <c r="C51" s="40">
        <v>3</v>
      </c>
      <c r="D51" s="40">
        <v>2</v>
      </c>
      <c r="E51" s="40">
        <v>2</v>
      </c>
      <c r="F51" s="40">
        <v>2</v>
      </c>
      <c r="G51" s="40">
        <v>4</v>
      </c>
      <c r="H51" s="40">
        <v>2</v>
      </c>
      <c r="I51" s="40">
        <v>2</v>
      </c>
      <c r="J51" s="41">
        <v>3</v>
      </c>
    </row>
    <row r="52" spans="1:10" x14ac:dyDescent="0.25">
      <c r="A52" s="33"/>
      <c r="B52" s="33"/>
      <c r="C52" s="33"/>
      <c r="D52" s="33"/>
      <c r="E52" s="33"/>
      <c r="F52" s="33"/>
      <c r="G52" s="33"/>
      <c r="H52" s="33"/>
      <c r="I52" s="33"/>
      <c r="J52" s="33"/>
    </row>
    <row r="53" spans="1:10" ht="24.6" x14ac:dyDescent="0.4">
      <c r="A53" s="26" t="s">
        <v>281</v>
      </c>
    </row>
    <row r="54" spans="1:10" ht="13.8" x14ac:dyDescent="0.25">
      <c r="A54" s="42" t="s">
        <v>282</v>
      </c>
      <c r="B54" s="42" t="s">
        <v>283</v>
      </c>
      <c r="C54" s="42" t="s">
        <v>284</v>
      </c>
      <c r="D54" s="42" t="s">
        <v>285</v>
      </c>
      <c r="E54" s="42" t="s">
        <v>286</v>
      </c>
      <c r="F54" s="42" t="s">
        <v>287</v>
      </c>
      <c r="G54" s="42" t="s">
        <v>288</v>
      </c>
      <c r="H54" s="42" t="s">
        <v>289</v>
      </c>
      <c r="I54" s="42" t="s">
        <v>290</v>
      </c>
      <c r="J54" s="42" t="s">
        <v>291</v>
      </c>
    </row>
    <row r="55" spans="1:10" x14ac:dyDescent="0.25">
      <c r="A55">
        <f>AVERAGE(A2:A51)</f>
        <v>3.34</v>
      </c>
      <c r="B55">
        <f>AVERAGE(B2:B51)</f>
        <v>2.8</v>
      </c>
      <c r="C55">
        <f t="shared" ref="C55:J55" si="0">AVERAGE(C2:C51)</f>
        <v>2.78</v>
      </c>
      <c r="D55">
        <f t="shared" si="0"/>
        <v>3.14</v>
      </c>
      <c r="E55">
        <f t="shared" si="0"/>
        <v>2.96</v>
      </c>
      <c r="F55">
        <f t="shared" si="0"/>
        <v>2.74</v>
      </c>
      <c r="G55">
        <f t="shared" si="0"/>
        <v>2.82</v>
      </c>
      <c r="H55">
        <f t="shared" si="0"/>
        <v>2.86</v>
      </c>
      <c r="I55">
        <f t="shared" si="0"/>
        <v>2.48</v>
      </c>
      <c r="J55">
        <f t="shared" si="0"/>
        <v>2.64</v>
      </c>
    </row>
    <row r="58" spans="1:10" ht="24.6" x14ac:dyDescent="0.4">
      <c r="A58" s="25" t="s">
        <v>202</v>
      </c>
    </row>
    <row r="59" spans="1:10" ht="13.8" x14ac:dyDescent="0.25">
      <c r="A59" s="39" t="s">
        <v>292</v>
      </c>
      <c r="B59" s="39" t="s">
        <v>293</v>
      </c>
      <c r="C59" s="39" t="s">
        <v>294</v>
      </c>
      <c r="D59" s="39" t="s">
        <v>295</v>
      </c>
      <c r="E59" s="39" t="s">
        <v>296</v>
      </c>
      <c r="F59" s="39" t="s">
        <v>297</v>
      </c>
      <c r="G59" s="39" t="s">
        <v>298</v>
      </c>
      <c r="H59" s="39" t="s">
        <v>299</v>
      </c>
      <c r="I59" s="39" t="s">
        <v>300</v>
      </c>
      <c r="J59" s="39" t="s">
        <v>301</v>
      </c>
    </row>
    <row r="60" spans="1:10" x14ac:dyDescent="0.25">
      <c r="A60">
        <f>MEDIAN(A2:A51)</f>
        <v>3.5</v>
      </c>
      <c r="B60">
        <f t="shared" ref="B60:J60" si="1">MEDIAN(B2:B51)</f>
        <v>3</v>
      </c>
      <c r="C60">
        <f t="shared" si="1"/>
        <v>3</v>
      </c>
      <c r="D60">
        <f t="shared" si="1"/>
        <v>3</v>
      </c>
      <c r="E60">
        <f t="shared" si="1"/>
        <v>3</v>
      </c>
      <c r="F60">
        <f t="shared" si="1"/>
        <v>3</v>
      </c>
      <c r="G60">
        <f t="shared" si="1"/>
        <v>3</v>
      </c>
      <c r="H60">
        <f t="shared" si="1"/>
        <v>3</v>
      </c>
      <c r="I60">
        <f t="shared" si="1"/>
        <v>2</v>
      </c>
      <c r="J60">
        <f t="shared" si="1"/>
        <v>2</v>
      </c>
    </row>
    <row r="63" spans="1:10" ht="24.6" x14ac:dyDescent="0.4">
      <c r="A63" s="25" t="s">
        <v>203</v>
      </c>
    </row>
    <row r="64" spans="1:10" ht="13.8" x14ac:dyDescent="0.25">
      <c r="A64" s="39" t="s">
        <v>302</v>
      </c>
      <c r="B64" s="39" t="s">
        <v>303</v>
      </c>
      <c r="C64" s="39" t="s">
        <v>304</v>
      </c>
      <c r="D64" s="39" t="s">
        <v>305</v>
      </c>
      <c r="E64" s="39" t="s">
        <v>306</v>
      </c>
      <c r="F64" s="39" t="s">
        <v>307</v>
      </c>
      <c r="G64" s="39" t="s">
        <v>308</v>
      </c>
      <c r="H64" s="39" t="s">
        <v>309</v>
      </c>
      <c r="I64" s="39" t="s">
        <v>310</v>
      </c>
      <c r="J64" s="39" t="s">
        <v>311</v>
      </c>
    </row>
    <row r="65" spans="1:10" x14ac:dyDescent="0.25">
      <c r="A65">
        <f>_xlfn.MODE.SNGL(A2:A51)</f>
        <v>5</v>
      </c>
      <c r="B65">
        <f t="shared" ref="B65:J65" si="2">_xlfn.MODE.SNGL(B2:B51)</f>
        <v>3</v>
      </c>
      <c r="C65">
        <f t="shared" si="2"/>
        <v>4</v>
      </c>
      <c r="D65">
        <f t="shared" si="2"/>
        <v>5</v>
      </c>
      <c r="E65">
        <f t="shared" si="2"/>
        <v>3</v>
      </c>
      <c r="F65">
        <f t="shared" si="2"/>
        <v>3</v>
      </c>
      <c r="G65">
        <f t="shared" si="2"/>
        <v>3</v>
      </c>
      <c r="H65">
        <f t="shared" si="2"/>
        <v>3</v>
      </c>
      <c r="I65">
        <f t="shared" si="2"/>
        <v>1</v>
      </c>
      <c r="J65">
        <f t="shared" si="2"/>
        <v>2</v>
      </c>
    </row>
    <row r="68" spans="1:10" ht="24.6" x14ac:dyDescent="0.4">
      <c r="A68" s="25" t="s">
        <v>204</v>
      </c>
    </row>
    <row r="69" spans="1:10" ht="13.8" x14ac:dyDescent="0.25">
      <c r="A69" s="39" t="s">
        <v>312</v>
      </c>
      <c r="B69" s="39" t="s">
        <v>313</v>
      </c>
      <c r="C69" s="39" t="s">
        <v>314</v>
      </c>
      <c r="D69" s="39" t="s">
        <v>315</v>
      </c>
      <c r="E69" s="39" t="s">
        <v>316</v>
      </c>
      <c r="F69" s="39" t="s">
        <v>317</v>
      </c>
      <c r="G69" s="39" t="s">
        <v>318</v>
      </c>
      <c r="H69" s="39" t="s">
        <v>319</v>
      </c>
      <c r="I69" s="39" t="s">
        <v>320</v>
      </c>
      <c r="J69" s="39" t="s">
        <v>321</v>
      </c>
    </row>
    <row r="70" spans="1:10" x14ac:dyDescent="0.25">
      <c r="A70">
        <f>MAX(A2:A51) - MIN(A2:A51)</f>
        <v>4</v>
      </c>
      <c r="B70">
        <f t="shared" ref="B70:J70" si="3">MAX(B2:B51) - MIN(B2:B51)</f>
        <v>4</v>
      </c>
      <c r="C70">
        <f t="shared" si="3"/>
        <v>4</v>
      </c>
      <c r="D70">
        <f t="shared" si="3"/>
        <v>4</v>
      </c>
      <c r="E70">
        <f t="shared" si="3"/>
        <v>4</v>
      </c>
      <c r="F70">
        <f t="shared" si="3"/>
        <v>4</v>
      </c>
      <c r="G70">
        <f t="shared" si="3"/>
        <v>4</v>
      </c>
      <c r="H70">
        <f t="shared" si="3"/>
        <v>4</v>
      </c>
      <c r="I70">
        <f t="shared" si="3"/>
        <v>4</v>
      </c>
      <c r="J70">
        <f t="shared" si="3"/>
        <v>4</v>
      </c>
    </row>
    <row r="73" spans="1:10" ht="24.6" x14ac:dyDescent="0.4">
      <c r="A73" s="25" t="s">
        <v>205</v>
      </c>
    </row>
    <row r="74" spans="1:10" ht="13.8" x14ac:dyDescent="0.25">
      <c r="A74" s="39" t="s">
        <v>322</v>
      </c>
      <c r="B74" s="39" t="s">
        <v>323</v>
      </c>
      <c r="C74" s="39" t="s">
        <v>324</v>
      </c>
      <c r="D74" s="39" t="s">
        <v>325</v>
      </c>
      <c r="E74" s="39" t="s">
        <v>326</v>
      </c>
      <c r="F74" s="39" t="s">
        <v>327</v>
      </c>
      <c r="G74" s="39" t="s">
        <v>328</v>
      </c>
      <c r="H74" s="39" t="s">
        <v>329</v>
      </c>
      <c r="I74" s="39" t="s">
        <v>330</v>
      </c>
      <c r="J74" s="39" t="s">
        <v>331</v>
      </c>
    </row>
    <row r="75" spans="1:10" x14ac:dyDescent="0.25">
      <c r="A75">
        <f>_xlfn.VAR.S(A2:A51)</f>
        <v>2.3106122448979596</v>
      </c>
      <c r="B75">
        <f t="shared" ref="B75:J75" si="4">_xlfn.VAR.S(B2:B51)</f>
        <v>1.3877551020408163</v>
      </c>
      <c r="C75">
        <f t="shared" si="4"/>
        <v>1.7669387755102037</v>
      </c>
      <c r="D75">
        <f t="shared" si="4"/>
        <v>2.0412244897959182</v>
      </c>
      <c r="E75">
        <f t="shared" si="4"/>
        <v>1.4269387755102043</v>
      </c>
      <c r="F75">
        <f t="shared" si="4"/>
        <v>1.7881632653061226</v>
      </c>
      <c r="G75">
        <f t="shared" si="4"/>
        <v>1.8240816326530611</v>
      </c>
      <c r="H75">
        <f t="shared" si="4"/>
        <v>1.5922448979591832</v>
      </c>
      <c r="I75">
        <f t="shared" si="4"/>
        <v>1.9281632653061229</v>
      </c>
      <c r="J75">
        <f t="shared" si="4"/>
        <v>1.7453061224489792</v>
      </c>
    </row>
    <row r="78" spans="1:10" ht="24.6" x14ac:dyDescent="0.4">
      <c r="A78" s="25" t="s">
        <v>206</v>
      </c>
    </row>
    <row r="79" spans="1:10" ht="13.8" x14ac:dyDescent="0.25">
      <c r="A79" s="39" t="s">
        <v>332</v>
      </c>
      <c r="B79" s="39" t="s">
        <v>333</v>
      </c>
      <c r="C79" s="39" t="s">
        <v>334</v>
      </c>
      <c r="D79" s="39" t="s">
        <v>335</v>
      </c>
      <c r="E79" s="39" t="s">
        <v>336</v>
      </c>
      <c r="F79" s="39" t="s">
        <v>337</v>
      </c>
      <c r="G79" s="39" t="s">
        <v>338</v>
      </c>
      <c r="H79" s="39" t="s">
        <v>339</v>
      </c>
      <c r="I79" s="39" t="s">
        <v>340</v>
      </c>
      <c r="J79" s="39" t="s">
        <v>341</v>
      </c>
    </row>
    <row r="80" spans="1:10" x14ac:dyDescent="0.25">
      <c r="A80">
        <f>_xlfn.STDEV.S(A2:A51)</f>
        <v>1.5200698157972743</v>
      </c>
      <c r="B80">
        <f>_xlfn.STDEV.S(B2:B51)</f>
        <v>1.1780301787479031</v>
      </c>
      <c r="C80">
        <f>_xlfn.STDEV.S(C2:C51)</f>
        <v>1.329262493080356</v>
      </c>
      <c r="D80">
        <f t="shared" ref="D80:J80" si="5">_xlfn.STDEV.S(D2:D51)</f>
        <v>1.4287142785721427</v>
      </c>
      <c r="E80">
        <f t="shared" si="5"/>
        <v>1.1945454263066786</v>
      </c>
      <c r="F80">
        <f t="shared" si="5"/>
        <v>1.3372222198670356</v>
      </c>
      <c r="G80">
        <f t="shared" si="5"/>
        <v>1.3505856628341133</v>
      </c>
      <c r="H80">
        <f t="shared" si="5"/>
        <v>1.2618418672556333</v>
      </c>
      <c r="I80">
        <f t="shared" si="5"/>
        <v>1.3885831863111848</v>
      </c>
      <c r="J80">
        <f t="shared" si="5"/>
        <v>1.3211003453367876</v>
      </c>
    </row>
    <row r="83" spans="1:10" ht="24.6" x14ac:dyDescent="0.4">
      <c r="A83" s="25" t="s">
        <v>208</v>
      </c>
    </row>
    <row r="84" spans="1:10" ht="13.8" x14ac:dyDescent="0.25">
      <c r="A84" s="39" t="s">
        <v>342</v>
      </c>
      <c r="B84" s="39" t="s">
        <v>343</v>
      </c>
      <c r="C84" s="39" t="s">
        <v>344</v>
      </c>
      <c r="D84" s="39" t="s">
        <v>345</v>
      </c>
      <c r="E84" s="39" t="s">
        <v>346</v>
      </c>
      <c r="F84" s="39" t="s">
        <v>347</v>
      </c>
      <c r="G84" s="39" t="s">
        <v>348</v>
      </c>
      <c r="H84" s="39" t="s">
        <v>349</v>
      </c>
      <c r="I84" s="39" t="s">
        <v>350</v>
      </c>
      <c r="J84" s="39" t="s">
        <v>351</v>
      </c>
    </row>
    <row r="85" spans="1:10" x14ac:dyDescent="0.25">
      <c r="A85">
        <f>_xlfn.PERCENTILE.EXC(A2:A51, 0.25)</f>
        <v>2</v>
      </c>
      <c r="B85">
        <f t="shared" ref="B85:J85" si="6">_xlfn.PERCENTILE.EXC(B2:B51, 0.25)</f>
        <v>2</v>
      </c>
      <c r="C85">
        <f t="shared" si="6"/>
        <v>1.75</v>
      </c>
      <c r="D85">
        <f t="shared" si="6"/>
        <v>2</v>
      </c>
      <c r="E85">
        <f t="shared" si="6"/>
        <v>2</v>
      </c>
      <c r="F85">
        <f t="shared" si="6"/>
        <v>1.75</v>
      </c>
      <c r="G85">
        <f t="shared" si="6"/>
        <v>2</v>
      </c>
      <c r="H85">
        <f t="shared" si="6"/>
        <v>2</v>
      </c>
      <c r="I85">
        <f t="shared" si="6"/>
        <v>1</v>
      </c>
      <c r="J85">
        <f t="shared" si="6"/>
        <v>1.75</v>
      </c>
    </row>
    <row r="86" spans="1:10" x14ac:dyDescent="0.25">
      <c r="A86">
        <f>_xlfn.PERCENTILE.EXC(A2:A51, 0.75)</f>
        <v>5</v>
      </c>
      <c r="B86">
        <f t="shared" ref="B86:J86" si="7">_xlfn.PERCENTILE.EXC(B2:B51, 0.75)</f>
        <v>4</v>
      </c>
      <c r="C86">
        <f t="shared" si="7"/>
        <v>4</v>
      </c>
      <c r="D86">
        <f t="shared" si="7"/>
        <v>5</v>
      </c>
      <c r="E86">
        <f t="shared" si="7"/>
        <v>4</v>
      </c>
      <c r="F86">
        <f t="shared" si="7"/>
        <v>4</v>
      </c>
      <c r="G86">
        <f t="shared" si="7"/>
        <v>3.25</v>
      </c>
      <c r="H86">
        <f t="shared" si="7"/>
        <v>4</v>
      </c>
      <c r="I86">
        <f t="shared" si="7"/>
        <v>3.25</v>
      </c>
      <c r="J86">
        <f t="shared" si="7"/>
        <v>4</v>
      </c>
    </row>
    <row r="87" spans="1:10" x14ac:dyDescent="0.25">
      <c r="A87">
        <f>_xlfn.PERCENTILE.EXC(A2:A51, 0.75) - _xlfn.PERCENTILE.EXC(A2:A51, 0.25)</f>
        <v>3</v>
      </c>
      <c r="B87">
        <f t="shared" ref="B87:J87" si="8">_xlfn.PERCENTILE.EXC(B2:B51, 0.75) - _xlfn.PERCENTILE.EXC(B2:B51, 0.25)</f>
        <v>2</v>
      </c>
      <c r="C87">
        <f t="shared" si="8"/>
        <v>2.25</v>
      </c>
      <c r="D87">
        <f t="shared" si="8"/>
        <v>3</v>
      </c>
      <c r="E87">
        <f t="shared" si="8"/>
        <v>2</v>
      </c>
      <c r="F87">
        <f t="shared" si="8"/>
        <v>2.25</v>
      </c>
      <c r="G87">
        <f t="shared" si="8"/>
        <v>1.25</v>
      </c>
      <c r="H87">
        <f t="shared" si="8"/>
        <v>2</v>
      </c>
      <c r="I87">
        <f t="shared" si="8"/>
        <v>2.25</v>
      </c>
      <c r="J87">
        <f t="shared" si="8"/>
        <v>2.25</v>
      </c>
    </row>
    <row r="90" spans="1:10" ht="24.6" x14ac:dyDescent="0.4">
      <c r="A90" s="25" t="s">
        <v>209</v>
      </c>
    </row>
    <row r="91" spans="1:10" ht="13.8" x14ac:dyDescent="0.25">
      <c r="A91" s="39" t="s">
        <v>352</v>
      </c>
      <c r="B91" s="39" t="s">
        <v>353</v>
      </c>
      <c r="C91" s="39" t="s">
        <v>354</v>
      </c>
      <c r="D91" s="39" t="s">
        <v>355</v>
      </c>
      <c r="E91" s="39" t="s">
        <v>356</v>
      </c>
      <c r="F91" s="39" t="s">
        <v>357</v>
      </c>
      <c r="G91" s="39" t="s">
        <v>358</v>
      </c>
      <c r="H91" s="39" t="s">
        <v>359</v>
      </c>
      <c r="I91" s="39" t="s">
        <v>360</v>
      </c>
      <c r="J91" s="39" t="s">
        <v>361</v>
      </c>
    </row>
    <row r="92" spans="1:10" x14ac:dyDescent="0.25">
      <c r="A92">
        <f>_xlfn.PERCENTILE.EXC(A2:A51, 0.25)</f>
        <v>2</v>
      </c>
      <c r="B92">
        <f t="shared" ref="B92:J92" si="9">_xlfn.PERCENTILE.EXC(B2:B51, 0.25)</f>
        <v>2</v>
      </c>
      <c r="C92">
        <f t="shared" si="9"/>
        <v>1.75</v>
      </c>
      <c r="D92">
        <f t="shared" si="9"/>
        <v>2</v>
      </c>
      <c r="E92">
        <f t="shared" si="9"/>
        <v>2</v>
      </c>
      <c r="F92">
        <f t="shared" si="9"/>
        <v>1.75</v>
      </c>
      <c r="G92">
        <f t="shared" si="9"/>
        <v>2</v>
      </c>
      <c r="H92">
        <f t="shared" si="9"/>
        <v>2</v>
      </c>
      <c r="I92">
        <f t="shared" si="9"/>
        <v>1</v>
      </c>
      <c r="J92">
        <f t="shared" si="9"/>
        <v>1.75</v>
      </c>
    </row>
    <row r="93" spans="1:10" x14ac:dyDescent="0.25">
      <c r="A93">
        <f>_xlfn.PERCENTILE.EXC(A2:A51, 0.5)</f>
        <v>3.5</v>
      </c>
      <c r="B93">
        <f t="shared" ref="B93:J93" si="10">_xlfn.PERCENTILE.EXC(B2:B51, 0.5)</f>
        <v>3</v>
      </c>
      <c r="C93">
        <f t="shared" si="10"/>
        <v>3</v>
      </c>
      <c r="D93">
        <f t="shared" si="10"/>
        <v>3</v>
      </c>
      <c r="E93">
        <f t="shared" si="10"/>
        <v>3</v>
      </c>
      <c r="F93">
        <f t="shared" si="10"/>
        <v>3</v>
      </c>
      <c r="G93">
        <f t="shared" si="10"/>
        <v>3</v>
      </c>
      <c r="H93">
        <f t="shared" si="10"/>
        <v>3</v>
      </c>
      <c r="I93">
        <f t="shared" si="10"/>
        <v>2</v>
      </c>
      <c r="J93">
        <f t="shared" si="10"/>
        <v>2</v>
      </c>
    </row>
    <row r="94" spans="1:10" x14ac:dyDescent="0.25">
      <c r="A94">
        <f>_xlfn.PERCENTILE.EXC(A2:A51, 0.75)</f>
        <v>5</v>
      </c>
      <c r="B94">
        <f t="shared" ref="B94:J94" si="11">_xlfn.PERCENTILE.EXC(B2:B51, 0.75)</f>
        <v>4</v>
      </c>
      <c r="C94">
        <f t="shared" si="11"/>
        <v>4</v>
      </c>
      <c r="D94">
        <f t="shared" si="11"/>
        <v>5</v>
      </c>
      <c r="E94">
        <f t="shared" si="11"/>
        <v>4</v>
      </c>
      <c r="F94">
        <f t="shared" si="11"/>
        <v>4</v>
      </c>
      <c r="G94">
        <f t="shared" si="11"/>
        <v>3.25</v>
      </c>
      <c r="H94">
        <f t="shared" si="11"/>
        <v>4</v>
      </c>
      <c r="I94">
        <f t="shared" si="11"/>
        <v>3.25</v>
      </c>
      <c r="J94">
        <f t="shared" si="11"/>
        <v>4</v>
      </c>
    </row>
    <row r="97" spans="1:10" ht="24.6" x14ac:dyDescent="0.4">
      <c r="A97" s="25" t="s">
        <v>232</v>
      </c>
    </row>
    <row r="98" spans="1:10" ht="13.8" x14ac:dyDescent="0.25">
      <c r="A98" s="39" t="s">
        <v>362</v>
      </c>
      <c r="B98" s="39" t="s">
        <v>363</v>
      </c>
      <c r="C98" s="39" t="s">
        <v>364</v>
      </c>
      <c r="D98" s="39" t="s">
        <v>365</v>
      </c>
      <c r="E98" s="39" t="s">
        <v>366</v>
      </c>
      <c r="F98" s="39" t="s">
        <v>367</v>
      </c>
      <c r="G98" s="39" t="s">
        <v>368</v>
      </c>
      <c r="H98" s="39" t="s">
        <v>369</v>
      </c>
      <c r="I98" s="39" t="s">
        <v>370</v>
      </c>
      <c r="J98" s="39" t="s">
        <v>371</v>
      </c>
    </row>
    <row r="99" spans="1:10" x14ac:dyDescent="0.25">
      <c r="A99">
        <f>_xlfn.STDEV.S(A2:A51) / AVERAGE(A2:A51)</f>
        <v>0.45511072329259711</v>
      </c>
      <c r="B99">
        <f t="shared" ref="B99:J99" si="12">_xlfn.STDEV.S(B2:B51) / AVERAGE(B2:B51)</f>
        <v>0.42072506383853681</v>
      </c>
      <c r="C99">
        <f t="shared" si="12"/>
        <v>0.47815197592818565</v>
      </c>
      <c r="D99">
        <f t="shared" si="12"/>
        <v>0.45500454731596901</v>
      </c>
      <c r="E99">
        <f t="shared" si="12"/>
        <v>0.40356264402252656</v>
      </c>
      <c r="F99">
        <f t="shared" si="12"/>
        <v>0.48803730652081589</v>
      </c>
      <c r="G99">
        <f t="shared" si="12"/>
        <v>0.47893108611138774</v>
      </c>
      <c r="H99">
        <f t="shared" si="12"/>
        <v>0.44120345008938228</v>
      </c>
      <c r="I99">
        <f t="shared" si="12"/>
        <v>0.55991257512547776</v>
      </c>
      <c r="J99">
        <f t="shared" si="12"/>
        <v>0.50041679747605583</v>
      </c>
    </row>
    <row r="102" spans="1:10" ht="24.6" x14ac:dyDescent="0.4">
      <c r="A102" s="25" t="s">
        <v>222</v>
      </c>
    </row>
    <row r="103" spans="1:10" ht="13.8" x14ac:dyDescent="0.25">
      <c r="A103" s="39" t="s">
        <v>372</v>
      </c>
      <c r="B103" s="39" t="s">
        <v>373</v>
      </c>
      <c r="C103" s="39" t="s">
        <v>374</v>
      </c>
      <c r="D103" s="39" t="s">
        <v>375</v>
      </c>
      <c r="E103" s="39" t="s">
        <v>376</v>
      </c>
      <c r="F103" s="39" t="s">
        <v>377</v>
      </c>
      <c r="G103" s="39" t="s">
        <v>378</v>
      </c>
      <c r="H103" s="39" t="s">
        <v>379</v>
      </c>
      <c r="I103" s="39" t="s">
        <v>380</v>
      </c>
      <c r="J103" s="39" t="s">
        <v>381</v>
      </c>
    </row>
    <row r="124" spans="1:10" ht="24.6" x14ac:dyDescent="0.4">
      <c r="A124" s="25" t="s">
        <v>382</v>
      </c>
    </row>
    <row r="125" spans="1:10" ht="13.8" x14ac:dyDescent="0.25">
      <c r="A125" s="39" t="s">
        <v>383</v>
      </c>
      <c r="B125" s="39" t="s">
        <v>384</v>
      </c>
      <c r="C125" s="39" t="s">
        <v>385</v>
      </c>
      <c r="D125" s="39" t="s">
        <v>386</v>
      </c>
      <c r="E125" s="39" t="s">
        <v>387</v>
      </c>
      <c r="F125" s="39" t="s">
        <v>388</v>
      </c>
      <c r="G125" s="39" t="s">
        <v>389</v>
      </c>
      <c r="H125" s="39" t="s">
        <v>390</v>
      </c>
      <c r="I125" s="39" t="s">
        <v>391</v>
      </c>
      <c r="J125" s="39" t="s">
        <v>392</v>
      </c>
    </row>
    <row r="147" spans="1:10" ht="24.6" x14ac:dyDescent="0.4">
      <c r="A147" s="25" t="s">
        <v>246</v>
      </c>
    </row>
    <row r="148" spans="1:10" ht="13.8" x14ac:dyDescent="0.25">
      <c r="A148" s="39" t="s">
        <v>393</v>
      </c>
      <c r="B148" s="39" t="s">
        <v>394</v>
      </c>
      <c r="C148" s="39" t="s">
        <v>395</v>
      </c>
      <c r="D148" s="39" t="s">
        <v>396</v>
      </c>
      <c r="E148" s="39" t="s">
        <v>397</v>
      </c>
      <c r="F148" s="39" t="s">
        <v>398</v>
      </c>
      <c r="G148" s="39" t="s">
        <v>399</v>
      </c>
      <c r="H148" s="39" t="s">
        <v>400</v>
      </c>
      <c r="I148" s="39" t="s">
        <v>401</v>
      </c>
      <c r="J148" s="39" t="s">
        <v>402</v>
      </c>
    </row>
    <row r="172" spans="1:10" ht="24.6" x14ac:dyDescent="0.4">
      <c r="A172" s="25" t="s">
        <v>403</v>
      </c>
      <c r="B172" s="25"/>
    </row>
    <row r="173" spans="1:10" ht="13.8" x14ac:dyDescent="0.25">
      <c r="A173" s="39" t="s">
        <v>414</v>
      </c>
      <c r="B173" s="39" t="s">
        <v>404</v>
      </c>
      <c r="C173" s="39" t="s">
        <v>405</v>
      </c>
      <c r="D173" s="39" t="s">
        <v>406</v>
      </c>
      <c r="E173" s="39" t="s">
        <v>407</v>
      </c>
      <c r="F173" s="39" t="s">
        <v>408</v>
      </c>
      <c r="G173" s="39" t="s">
        <v>409</v>
      </c>
      <c r="H173" s="39" t="s">
        <v>410</v>
      </c>
      <c r="I173" s="39" t="s">
        <v>411</v>
      </c>
      <c r="J173" s="39" t="s">
        <v>412</v>
      </c>
    </row>
    <row r="174" spans="1:10" x14ac:dyDescent="0.25">
      <c r="A174">
        <f>(A2 - AVERAGE(A2:A51)) / _xlfn.STDEV.P(A2:A51)</f>
        <v>1.1031422415799783</v>
      </c>
      <c r="B174">
        <f t="shared" ref="B174:J174" si="13">(B2 - AVERAGE(B2:B51)) / _xlfn.STDEV.P(B2:B51)</f>
        <v>1.0289915108550531</v>
      </c>
      <c r="C174">
        <f t="shared" si="13"/>
        <v>0.92712019692802494</v>
      </c>
      <c r="D174">
        <f t="shared" si="13"/>
        <v>0.60805102975740621</v>
      </c>
      <c r="E174">
        <f t="shared" si="13"/>
        <v>3.3825504574586947E-2</v>
      </c>
      <c r="F174">
        <f t="shared" si="13"/>
        <v>0.19640689309641424</v>
      </c>
      <c r="G174">
        <f t="shared" si="13"/>
        <v>0.13462860077889868</v>
      </c>
      <c r="H174">
        <f t="shared" si="13"/>
        <v>0.1120753399511822</v>
      </c>
      <c r="I174">
        <f t="shared" si="13"/>
        <v>1.8332242802348753</v>
      </c>
      <c r="J174">
        <f t="shared" si="13"/>
        <v>-0.48936300016529299</v>
      </c>
    </row>
    <row r="177" spans="1:10" ht="24.6" x14ac:dyDescent="0.4">
      <c r="A177" s="25" t="s">
        <v>413</v>
      </c>
    </row>
    <row r="178" spans="1:10" ht="13.8" x14ac:dyDescent="0.25">
      <c r="A178" s="39" t="s">
        <v>415</v>
      </c>
      <c r="B178" s="39" t="s">
        <v>416</v>
      </c>
      <c r="C178" s="39" t="s">
        <v>417</v>
      </c>
      <c r="D178" s="39" t="s">
        <v>418</v>
      </c>
      <c r="E178" s="39" t="s">
        <v>419</v>
      </c>
      <c r="F178" s="39" t="s">
        <v>420</v>
      </c>
      <c r="G178" s="39" t="s">
        <v>421</v>
      </c>
      <c r="H178" s="39" t="s">
        <v>422</v>
      </c>
      <c r="I178" s="39" t="s">
        <v>423</v>
      </c>
      <c r="J178" s="39" t="s">
        <v>424</v>
      </c>
    </row>
    <row r="179" spans="1:10" x14ac:dyDescent="0.25">
      <c r="A179">
        <f>SKEW(A2:A51)</f>
        <v>-0.31745652764255522</v>
      </c>
      <c r="B179">
        <f t="shared" ref="B179:J179" si="14">SKEW(B2:B51)</f>
        <v>9.3625884664761322E-2</v>
      </c>
      <c r="C179">
        <f t="shared" si="14"/>
        <v>4.2315612259704594E-2</v>
      </c>
      <c r="D179">
        <f t="shared" si="14"/>
        <v>6.2281314671407987E-3</v>
      </c>
      <c r="E179">
        <f t="shared" si="14"/>
        <v>0.22939894450182385</v>
      </c>
      <c r="F179">
        <f t="shared" si="14"/>
        <v>0.23312796441499814</v>
      </c>
      <c r="G179">
        <f t="shared" si="14"/>
        <v>0.23779080971705943</v>
      </c>
      <c r="H179">
        <f t="shared" si="14"/>
        <v>0.14713216333172893</v>
      </c>
      <c r="I179">
        <f t="shared" si="14"/>
        <v>0.63852326921367641</v>
      </c>
      <c r="J179">
        <f t="shared" si="14"/>
        <v>0.31987820473056933</v>
      </c>
    </row>
    <row r="182" spans="1:10" x14ac:dyDescent="0.25">
      <c r="A182" s="26"/>
    </row>
    <row r="184" spans="1:10" ht="24.6" x14ac:dyDescent="0.4">
      <c r="A184" s="25" t="s">
        <v>425</v>
      </c>
    </row>
    <row r="185" spans="1:10" ht="13.8" x14ac:dyDescent="0.25">
      <c r="A185" s="39" t="s">
        <v>426</v>
      </c>
      <c r="B185" s="39" t="s">
        <v>427</v>
      </c>
      <c r="C185" s="39" t="s">
        <v>428</v>
      </c>
      <c r="D185" s="39" t="s">
        <v>429</v>
      </c>
      <c r="E185" s="39" t="s">
        <v>430</v>
      </c>
      <c r="F185" s="39" t="s">
        <v>431</v>
      </c>
      <c r="G185" s="39" t="s">
        <v>432</v>
      </c>
      <c r="H185" s="39" t="s">
        <v>433</v>
      </c>
      <c r="I185" s="39" t="s">
        <v>434</v>
      </c>
      <c r="J185" s="39" t="s">
        <v>435</v>
      </c>
    </row>
    <row r="186" spans="1:10" x14ac:dyDescent="0.25">
      <c r="A186">
        <f>COUNTIF(A2:A51, 1) / 50</f>
        <v>0.18</v>
      </c>
      <c r="B186">
        <f t="shared" ref="B186:J186" si="15">COUNTIF(B2:B51, 1) / 50</f>
        <v>0.16</v>
      </c>
      <c r="C186">
        <f t="shared" si="15"/>
        <v>0.24</v>
      </c>
      <c r="D186">
        <f t="shared" si="15"/>
        <v>0.14000000000000001</v>
      </c>
      <c r="E186">
        <f t="shared" si="15"/>
        <v>0.1</v>
      </c>
      <c r="F186">
        <f t="shared" si="15"/>
        <v>0.24</v>
      </c>
      <c r="G186">
        <f t="shared" si="15"/>
        <v>0.22</v>
      </c>
      <c r="H186">
        <f t="shared" si="15"/>
        <v>0.16</v>
      </c>
      <c r="I186">
        <f t="shared" si="15"/>
        <v>0.3</v>
      </c>
      <c r="J186">
        <f t="shared" si="15"/>
        <v>0.24</v>
      </c>
    </row>
    <row r="187" spans="1:10" x14ac:dyDescent="0.25">
      <c r="A187">
        <f>COUNTIF(A2:A51, 2) / 50</f>
        <v>0.14000000000000001</v>
      </c>
      <c r="B187">
        <f t="shared" ref="B187:J187" si="16">COUNTIF(B2:B51, 2) / 50</f>
        <v>0.24</v>
      </c>
      <c r="C187">
        <f t="shared" si="16"/>
        <v>0.18</v>
      </c>
      <c r="D187">
        <f t="shared" si="16"/>
        <v>0.26</v>
      </c>
      <c r="E187">
        <f t="shared" si="16"/>
        <v>0.28000000000000003</v>
      </c>
      <c r="F187">
        <f t="shared" si="16"/>
        <v>0.18</v>
      </c>
      <c r="G187">
        <f t="shared" si="16"/>
        <v>0.16</v>
      </c>
      <c r="H187">
        <f t="shared" si="16"/>
        <v>0.26</v>
      </c>
      <c r="I187">
        <f t="shared" si="16"/>
        <v>0.3</v>
      </c>
      <c r="J187">
        <f t="shared" si="16"/>
        <v>0.28000000000000003</v>
      </c>
    </row>
    <row r="188" spans="1:10" x14ac:dyDescent="0.25">
      <c r="A188">
        <f>COUNTIF(A2:A51, 3) / 50</f>
        <v>0.18</v>
      </c>
      <c r="B188">
        <f t="shared" ref="B188:J188" si="17">COUNTIF(B2:B51, 3) / 50</f>
        <v>0.32</v>
      </c>
      <c r="C188">
        <f t="shared" si="17"/>
        <v>0.24</v>
      </c>
      <c r="D188">
        <f t="shared" si="17"/>
        <v>0.18</v>
      </c>
      <c r="E188">
        <f t="shared" si="17"/>
        <v>0.32</v>
      </c>
      <c r="F188">
        <f t="shared" si="17"/>
        <v>0.32</v>
      </c>
      <c r="G188">
        <f t="shared" si="17"/>
        <v>0.38</v>
      </c>
      <c r="H188">
        <f t="shared" si="17"/>
        <v>0.26</v>
      </c>
      <c r="I188">
        <f t="shared" si="17"/>
        <v>0.16</v>
      </c>
      <c r="J188">
        <f t="shared" si="17"/>
        <v>0.18</v>
      </c>
    </row>
    <row r="189" spans="1:10" x14ac:dyDescent="0.25">
      <c r="A189">
        <f>COUNTIF(A2:A51, 4) / 50</f>
        <v>0.16</v>
      </c>
      <c r="B189">
        <f t="shared" ref="B189:J189" si="18">COUNTIF(B2:B51, 4) / 50</f>
        <v>0.2</v>
      </c>
      <c r="C189">
        <f t="shared" si="18"/>
        <v>0.24</v>
      </c>
      <c r="D189">
        <f t="shared" si="18"/>
        <v>0.16</v>
      </c>
      <c r="E189">
        <f t="shared" si="18"/>
        <v>0.16</v>
      </c>
      <c r="F189">
        <f t="shared" si="18"/>
        <v>0.12</v>
      </c>
      <c r="G189">
        <f t="shared" si="18"/>
        <v>0.06</v>
      </c>
      <c r="H189">
        <f t="shared" si="18"/>
        <v>0.2</v>
      </c>
      <c r="I189">
        <f t="shared" si="18"/>
        <v>0.1</v>
      </c>
      <c r="J189">
        <f t="shared" si="18"/>
        <v>0.2</v>
      </c>
    </row>
    <row r="190" spans="1:10" x14ac:dyDescent="0.25">
      <c r="A190">
        <f>COUNTIF(A2:A51, 5) / 50</f>
        <v>0.34</v>
      </c>
      <c r="B190">
        <f t="shared" ref="B190:J190" si="19">COUNTIF(B2:B51, 5) / 50</f>
        <v>0.08</v>
      </c>
      <c r="C190">
        <f t="shared" si="19"/>
        <v>0.1</v>
      </c>
      <c r="D190">
        <f t="shared" si="19"/>
        <v>0.26</v>
      </c>
      <c r="E190">
        <f t="shared" si="19"/>
        <v>0.14000000000000001</v>
      </c>
      <c r="F190">
        <f t="shared" si="19"/>
        <v>0.14000000000000001</v>
      </c>
      <c r="G190">
        <f t="shared" si="19"/>
        <v>0.18</v>
      </c>
      <c r="H190">
        <f t="shared" si="19"/>
        <v>0.12</v>
      </c>
      <c r="I190">
        <f t="shared" si="19"/>
        <v>0.14000000000000001</v>
      </c>
      <c r="J190">
        <f t="shared" si="19"/>
        <v>0.1</v>
      </c>
    </row>
    <row r="193" spans="1:10" ht="24.6" x14ac:dyDescent="0.4">
      <c r="A193" s="25" t="s">
        <v>436</v>
      </c>
    </row>
    <row r="194" spans="1:10" ht="13.8" x14ac:dyDescent="0.25">
      <c r="A194" s="39" t="s">
        <v>437</v>
      </c>
      <c r="B194" s="39" t="s">
        <v>438</v>
      </c>
      <c r="C194" s="39" t="s">
        <v>439</v>
      </c>
      <c r="D194" s="39" t="s">
        <v>440</v>
      </c>
      <c r="E194" s="39" t="s">
        <v>441</v>
      </c>
      <c r="F194" s="39" t="s">
        <v>442</v>
      </c>
      <c r="G194" s="39" t="s">
        <v>443</v>
      </c>
      <c r="H194" s="39" t="s">
        <v>444</v>
      </c>
      <c r="I194" s="39" t="s">
        <v>445</v>
      </c>
      <c r="J194" s="39" t="s">
        <v>446</v>
      </c>
    </row>
    <row r="195" spans="1:10" x14ac:dyDescent="0.25">
      <c r="A195">
        <f>CORREL(A2:A51, B2:B51)</f>
        <v>0.71116202525630601</v>
      </c>
      <c r="B195">
        <f t="shared" ref="B195:I195" si="20">CORREL(B2:B51, C2:C51)</f>
        <v>0.70116306141186724</v>
      </c>
      <c r="C195">
        <f>CORREL(C2:C51, D2:D51)</f>
        <v>0.70429437724279231</v>
      </c>
      <c r="D195">
        <f>CORREL(D2:D51, E2:E51)</f>
        <v>-4.4483485084736131E-2</v>
      </c>
      <c r="E195">
        <f t="shared" si="20"/>
        <v>0.38941495713967944</v>
      </c>
      <c r="F195">
        <f t="shared" si="20"/>
        <v>0.49335772387663968</v>
      </c>
      <c r="G195">
        <f t="shared" si="20"/>
        <v>0.48786299378212072</v>
      </c>
      <c r="H195">
        <f t="shared" si="20"/>
        <v>0.27208207006309648</v>
      </c>
      <c r="I195">
        <f t="shared" si="20"/>
        <v>0.54111525527874182</v>
      </c>
      <c r="J195">
        <f>CORREL(J2:J51, A2:A51)</f>
        <v>-0.15121939974766249</v>
      </c>
    </row>
    <row r="198" spans="1:10" ht="24.6" x14ac:dyDescent="0.4">
      <c r="A198" s="25" t="s">
        <v>490</v>
      </c>
    </row>
    <row r="199" spans="1:10" ht="13.8" x14ac:dyDescent="0.25">
      <c r="A199" s="72" t="s">
        <v>502</v>
      </c>
      <c r="B199" s="72" t="s">
        <v>503</v>
      </c>
      <c r="C199" s="72" t="s">
        <v>504</v>
      </c>
      <c r="D199" s="72" t="s">
        <v>505</v>
      </c>
      <c r="E199" s="72" t="s">
        <v>506</v>
      </c>
      <c r="F199" s="72" t="s">
        <v>507</v>
      </c>
      <c r="G199" s="72" t="s">
        <v>508</v>
      </c>
      <c r="H199" s="72" t="s">
        <v>509</v>
      </c>
      <c r="I199" s="72" t="s">
        <v>510</v>
      </c>
      <c r="J199" s="72" t="s">
        <v>511</v>
      </c>
    </row>
    <row r="200" spans="1:10" x14ac:dyDescent="0.25">
      <c r="A200">
        <f>_xlfn.POISSON.DIST(2, AVERAGE(A2:A51), TRUE)</f>
        <v>0.35145665929127096</v>
      </c>
      <c r="B200">
        <f t="shared" ref="B200:J200" si="21">_xlfn.POISSON.DIST(2, AVERAGE(B2:B51), TRUE)</f>
        <v>0.46945368346668259</v>
      </c>
      <c r="C200">
        <f t="shared" si="21"/>
        <v>0.47423475809400228</v>
      </c>
      <c r="D200">
        <f t="shared" si="21"/>
        <v>0.39256632041125034</v>
      </c>
      <c r="E200">
        <f t="shared" si="21"/>
        <v>0.43221122435427162</v>
      </c>
      <c r="F200">
        <f t="shared" si="21"/>
        <v>0.48387726554802579</v>
      </c>
      <c r="G200">
        <f t="shared" si="21"/>
        <v>0.46469985054743312</v>
      </c>
      <c r="H200">
        <f t="shared" si="21"/>
        <v>0.45527519035841224</v>
      </c>
      <c r="I200">
        <f t="shared" si="21"/>
        <v>0.54895359240196306</v>
      </c>
      <c r="J200">
        <f t="shared" si="21"/>
        <v>0.50843477333533948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C393F-43E6-43DA-971C-930E35029059}">
  <dimension ref="A1:I190"/>
  <sheetViews>
    <sheetView topLeftCell="A84" workbookViewId="0">
      <selection activeCell="A100" sqref="A100"/>
    </sheetView>
  </sheetViews>
  <sheetFormatPr defaultRowHeight="13.2" x14ac:dyDescent="0.25"/>
  <cols>
    <col min="1" max="1" width="140.33203125" bestFit="1" customWidth="1"/>
    <col min="2" max="2" width="70.88671875" bestFit="1" customWidth="1"/>
    <col min="3" max="3" width="14" bestFit="1" customWidth="1"/>
    <col min="4" max="4" width="12.6640625" bestFit="1" customWidth="1"/>
    <col min="5" max="5" width="12" bestFit="1" customWidth="1"/>
    <col min="6" max="6" width="13.44140625" bestFit="1" customWidth="1"/>
    <col min="7" max="7" width="12" bestFit="1" customWidth="1"/>
    <col min="8" max="8" width="12.6640625" bestFit="1" customWidth="1"/>
    <col min="9" max="9" width="12.44140625" bestFit="1" customWidth="1"/>
  </cols>
  <sheetData>
    <row r="1" spans="1:2" x14ac:dyDescent="0.25">
      <c r="A1" s="84" t="s">
        <v>548</v>
      </c>
      <c r="B1" s="84" t="s">
        <v>549</v>
      </c>
    </row>
    <row r="2" spans="1:2" x14ac:dyDescent="0.25">
      <c r="A2" s="7">
        <v>8</v>
      </c>
      <c r="B2" s="7">
        <v>2</v>
      </c>
    </row>
    <row r="3" spans="1:2" x14ac:dyDescent="0.25">
      <c r="A3" s="8">
        <v>8</v>
      </c>
      <c r="B3" s="8">
        <v>3</v>
      </c>
    </row>
    <row r="4" spans="1:2" x14ac:dyDescent="0.25">
      <c r="A4" s="7">
        <v>4</v>
      </c>
      <c r="B4" s="7">
        <v>3</v>
      </c>
    </row>
    <row r="5" spans="1:2" x14ac:dyDescent="0.25">
      <c r="A5" s="8">
        <v>6</v>
      </c>
      <c r="B5" s="8">
        <v>3</v>
      </c>
    </row>
    <row r="6" spans="1:2" x14ac:dyDescent="0.25">
      <c r="A6" s="7">
        <v>6</v>
      </c>
      <c r="B6" s="7">
        <v>3</v>
      </c>
    </row>
    <row r="7" spans="1:2" x14ac:dyDescent="0.25">
      <c r="A7" s="8">
        <v>6</v>
      </c>
      <c r="B7" s="8">
        <v>0</v>
      </c>
    </row>
    <row r="8" spans="1:2" x14ac:dyDescent="0.25">
      <c r="A8" s="7">
        <v>6</v>
      </c>
      <c r="B8" s="7">
        <v>3</v>
      </c>
    </row>
    <row r="9" spans="1:2" x14ac:dyDescent="0.25">
      <c r="A9" s="8">
        <v>4</v>
      </c>
      <c r="B9" s="8">
        <v>2</v>
      </c>
    </row>
    <row r="10" spans="1:2" x14ac:dyDescent="0.25">
      <c r="A10" s="7">
        <v>8</v>
      </c>
      <c r="B10" s="7">
        <v>3</v>
      </c>
    </row>
    <row r="11" spans="1:2" x14ac:dyDescent="0.25">
      <c r="A11" s="8">
        <v>6</v>
      </c>
      <c r="B11" s="8">
        <v>1</v>
      </c>
    </row>
    <row r="12" spans="1:2" x14ac:dyDescent="0.25">
      <c r="A12" s="7">
        <v>6</v>
      </c>
      <c r="B12" s="7">
        <v>2</v>
      </c>
    </row>
    <row r="13" spans="1:2" x14ac:dyDescent="0.25">
      <c r="A13" s="8">
        <v>6</v>
      </c>
      <c r="B13" s="8">
        <v>2</v>
      </c>
    </row>
    <row r="14" spans="1:2" x14ac:dyDescent="0.25">
      <c r="A14" s="7">
        <v>8</v>
      </c>
      <c r="B14" s="7">
        <v>2</v>
      </c>
    </row>
    <row r="15" spans="1:2" x14ac:dyDescent="0.25">
      <c r="A15" s="8">
        <v>8</v>
      </c>
      <c r="B15" s="8">
        <v>2</v>
      </c>
    </row>
    <row r="16" spans="1:2" x14ac:dyDescent="0.25">
      <c r="A16" s="7">
        <v>10</v>
      </c>
      <c r="B16" s="7">
        <v>0</v>
      </c>
    </row>
    <row r="17" spans="1:2" x14ac:dyDescent="0.25">
      <c r="A17" s="8">
        <v>4</v>
      </c>
      <c r="B17" s="8">
        <v>3</v>
      </c>
    </row>
    <row r="18" spans="1:2" x14ac:dyDescent="0.25">
      <c r="A18" s="7">
        <v>8</v>
      </c>
      <c r="B18" s="7">
        <v>3</v>
      </c>
    </row>
    <row r="19" spans="1:2" x14ac:dyDescent="0.25">
      <c r="A19" s="8">
        <v>4</v>
      </c>
      <c r="B19" s="8">
        <v>2</v>
      </c>
    </row>
    <row r="20" spans="1:2" x14ac:dyDescent="0.25">
      <c r="A20" s="7">
        <v>8</v>
      </c>
      <c r="B20" s="7">
        <v>3</v>
      </c>
    </row>
    <row r="21" spans="1:2" x14ac:dyDescent="0.25">
      <c r="A21" s="8">
        <v>8</v>
      </c>
      <c r="B21" s="8">
        <v>0</v>
      </c>
    </row>
    <row r="22" spans="1:2" x14ac:dyDescent="0.25">
      <c r="A22" s="7">
        <v>8</v>
      </c>
      <c r="B22" s="7">
        <v>0</v>
      </c>
    </row>
    <row r="23" spans="1:2" x14ac:dyDescent="0.25">
      <c r="A23" s="8">
        <v>6</v>
      </c>
      <c r="B23" s="8">
        <v>2</v>
      </c>
    </row>
    <row r="24" spans="1:2" x14ac:dyDescent="0.25">
      <c r="A24" s="7">
        <v>4</v>
      </c>
      <c r="B24" s="7">
        <v>3</v>
      </c>
    </row>
    <row r="25" spans="1:2" x14ac:dyDescent="0.25">
      <c r="A25" s="8">
        <v>6</v>
      </c>
      <c r="B25" s="8">
        <v>2</v>
      </c>
    </row>
    <row r="26" spans="1:2" x14ac:dyDescent="0.25">
      <c r="A26" s="7">
        <v>6</v>
      </c>
      <c r="B26" s="7">
        <v>3</v>
      </c>
    </row>
    <row r="27" spans="1:2" x14ac:dyDescent="0.25">
      <c r="A27" s="8">
        <v>8</v>
      </c>
      <c r="B27" s="8">
        <v>3</v>
      </c>
    </row>
    <row r="28" spans="1:2" x14ac:dyDescent="0.25">
      <c r="A28" s="7">
        <v>6</v>
      </c>
      <c r="B28" s="7">
        <v>3</v>
      </c>
    </row>
    <row r="29" spans="1:2" x14ac:dyDescent="0.25">
      <c r="A29" s="8">
        <v>6</v>
      </c>
      <c r="B29" s="8">
        <v>0</v>
      </c>
    </row>
    <row r="30" spans="1:2" x14ac:dyDescent="0.25">
      <c r="A30" s="7">
        <v>8</v>
      </c>
      <c r="B30" s="7">
        <v>0</v>
      </c>
    </row>
    <row r="31" spans="1:2" x14ac:dyDescent="0.25">
      <c r="A31" s="8">
        <v>6</v>
      </c>
      <c r="B31" s="8">
        <v>2</v>
      </c>
    </row>
    <row r="32" spans="1:2" x14ac:dyDescent="0.25">
      <c r="A32" s="7">
        <v>6</v>
      </c>
      <c r="B32" s="7">
        <v>1</v>
      </c>
    </row>
    <row r="33" spans="1:2" x14ac:dyDescent="0.25">
      <c r="A33" s="8">
        <v>10</v>
      </c>
      <c r="B33" s="8">
        <v>0</v>
      </c>
    </row>
    <row r="34" spans="1:2" x14ac:dyDescent="0.25">
      <c r="A34" s="7">
        <v>6</v>
      </c>
      <c r="B34" s="7">
        <v>0</v>
      </c>
    </row>
    <row r="35" spans="1:2" x14ac:dyDescent="0.25">
      <c r="A35" s="8">
        <v>10</v>
      </c>
      <c r="B35" s="8">
        <v>2</v>
      </c>
    </row>
    <row r="36" spans="1:2" x14ac:dyDescent="0.25">
      <c r="A36" s="7">
        <v>8</v>
      </c>
      <c r="B36" s="7">
        <v>2</v>
      </c>
    </row>
    <row r="37" spans="1:2" x14ac:dyDescent="0.25">
      <c r="A37" s="8">
        <v>6</v>
      </c>
      <c r="B37" s="8">
        <v>0</v>
      </c>
    </row>
    <row r="38" spans="1:2" x14ac:dyDescent="0.25">
      <c r="A38" s="7">
        <v>4</v>
      </c>
      <c r="B38" s="7">
        <v>3</v>
      </c>
    </row>
    <row r="39" spans="1:2" x14ac:dyDescent="0.25">
      <c r="A39" s="8">
        <v>6</v>
      </c>
      <c r="B39" s="8">
        <v>3</v>
      </c>
    </row>
    <row r="40" spans="1:2" x14ac:dyDescent="0.25">
      <c r="A40" s="7">
        <v>8</v>
      </c>
      <c r="B40" s="7">
        <v>2</v>
      </c>
    </row>
    <row r="41" spans="1:2" x14ac:dyDescent="0.25">
      <c r="A41" s="8">
        <v>4</v>
      </c>
      <c r="B41" s="8">
        <v>3</v>
      </c>
    </row>
    <row r="42" spans="1:2" x14ac:dyDescent="0.25">
      <c r="A42" s="7">
        <v>8</v>
      </c>
      <c r="B42" s="7">
        <v>3</v>
      </c>
    </row>
    <row r="43" spans="1:2" x14ac:dyDescent="0.25">
      <c r="A43" s="8">
        <v>6</v>
      </c>
      <c r="B43" s="8">
        <v>3</v>
      </c>
    </row>
    <row r="44" spans="1:2" x14ac:dyDescent="0.25">
      <c r="A44" s="7">
        <v>4</v>
      </c>
      <c r="B44" s="7">
        <v>2</v>
      </c>
    </row>
    <row r="45" spans="1:2" x14ac:dyDescent="0.25">
      <c r="A45" s="8">
        <v>4</v>
      </c>
      <c r="B45" s="8">
        <v>0</v>
      </c>
    </row>
    <row r="46" spans="1:2" x14ac:dyDescent="0.25">
      <c r="A46" s="7">
        <v>6</v>
      </c>
      <c r="B46" s="7">
        <v>2</v>
      </c>
    </row>
    <row r="47" spans="1:2" x14ac:dyDescent="0.25">
      <c r="A47" s="8">
        <v>8</v>
      </c>
      <c r="B47" s="8">
        <v>3</v>
      </c>
    </row>
    <row r="48" spans="1:2" x14ac:dyDescent="0.25">
      <c r="A48" s="7">
        <v>4</v>
      </c>
      <c r="B48" s="7">
        <v>3</v>
      </c>
    </row>
    <row r="49" spans="1:2" x14ac:dyDescent="0.25">
      <c r="A49" s="8">
        <v>6</v>
      </c>
      <c r="B49" s="8">
        <v>3</v>
      </c>
    </row>
    <row r="50" spans="1:2" x14ac:dyDescent="0.25">
      <c r="A50" s="7">
        <v>8</v>
      </c>
      <c r="B50" s="7">
        <v>3</v>
      </c>
    </row>
    <row r="51" spans="1:2" x14ac:dyDescent="0.25">
      <c r="A51" s="78">
        <v>10</v>
      </c>
      <c r="B51" s="78">
        <v>3</v>
      </c>
    </row>
    <row r="53" spans="1:2" ht="24.6" x14ac:dyDescent="0.4">
      <c r="A53" s="25" t="s">
        <v>515</v>
      </c>
    </row>
    <row r="54" spans="1:2" x14ac:dyDescent="0.25">
      <c r="A54" s="79" t="s">
        <v>516</v>
      </c>
    </row>
    <row r="56" spans="1:2" ht="22.8" x14ac:dyDescent="0.4">
      <c r="A56" s="80" t="s">
        <v>517</v>
      </c>
    </row>
    <row r="57" spans="1:2" x14ac:dyDescent="0.25">
      <c r="A57">
        <f>CORREL(A2:A51, B2:B51)</f>
        <v>-0.1664531481445963</v>
      </c>
    </row>
    <row r="59" spans="1:2" x14ac:dyDescent="0.25">
      <c r="A59" s="14" t="s">
        <v>518</v>
      </c>
    </row>
    <row r="63" spans="1:2" ht="22.8" x14ac:dyDescent="0.4">
      <c r="A63" s="80" t="s">
        <v>519</v>
      </c>
    </row>
    <row r="64" spans="1:2" x14ac:dyDescent="0.25">
      <c r="A64" s="14" t="s">
        <v>521</v>
      </c>
    </row>
    <row r="83" spans="1:2" x14ac:dyDescent="0.25">
      <c r="A83" s="79" t="s">
        <v>520</v>
      </c>
    </row>
    <row r="85" spans="1:2" ht="22.8" x14ac:dyDescent="0.4">
      <c r="A85" s="80" t="s">
        <v>547</v>
      </c>
    </row>
    <row r="87" spans="1:2" ht="13.8" x14ac:dyDescent="0.25">
      <c r="A87" s="87" t="s">
        <v>522</v>
      </c>
    </row>
    <row r="88" spans="1:2" ht="13.8" thickBot="1" x14ac:dyDescent="0.3"/>
    <row r="89" spans="1:2" ht="13.8" x14ac:dyDescent="0.25">
      <c r="A89" s="88" t="s">
        <v>523</v>
      </c>
      <c r="B89" s="83"/>
    </row>
    <row r="90" spans="1:2" ht="13.8" x14ac:dyDescent="0.25">
      <c r="A90" s="89" t="s">
        <v>524</v>
      </c>
      <c r="B90" s="94">
        <v>0.16645314814459689</v>
      </c>
    </row>
    <row r="91" spans="1:2" ht="13.8" x14ac:dyDescent="0.25">
      <c r="A91" s="90" t="s">
        <v>525</v>
      </c>
      <c r="B91" s="94">
        <v>2.7706650527247117E-2</v>
      </c>
    </row>
    <row r="92" spans="1:2" ht="13.8" x14ac:dyDescent="0.25">
      <c r="A92" s="91" t="s">
        <v>526</v>
      </c>
      <c r="B92" s="94">
        <v>7.4505390798980985E-3</v>
      </c>
    </row>
    <row r="93" spans="1:2" ht="13.8" x14ac:dyDescent="0.25">
      <c r="A93" s="92" t="s">
        <v>527</v>
      </c>
      <c r="B93" s="94">
        <v>1.1472759571475117</v>
      </c>
    </row>
    <row r="94" spans="1:2" ht="14.4" thickBot="1" x14ac:dyDescent="0.3">
      <c r="A94" s="93" t="s">
        <v>528</v>
      </c>
      <c r="B94" s="94">
        <v>50</v>
      </c>
    </row>
    <row r="96" spans="1:2" ht="13.8" thickBot="1" x14ac:dyDescent="0.3">
      <c r="A96" t="s">
        <v>529</v>
      </c>
    </row>
    <row r="97" spans="1:9" x14ac:dyDescent="0.25">
      <c r="A97" s="82"/>
      <c r="B97" s="82" t="s">
        <v>534</v>
      </c>
      <c r="C97" s="82" t="s">
        <v>535</v>
      </c>
      <c r="D97" s="82" t="s">
        <v>536</v>
      </c>
      <c r="E97" s="82" t="s">
        <v>537</v>
      </c>
      <c r="F97" s="82" t="s">
        <v>538</v>
      </c>
    </row>
    <row r="98" spans="1:9" x14ac:dyDescent="0.25">
      <c r="A98" s="94" t="s">
        <v>530</v>
      </c>
      <c r="B98">
        <v>1</v>
      </c>
      <c r="C98">
        <v>1.8003781512605173</v>
      </c>
      <c r="D98">
        <v>1.8003781512605173</v>
      </c>
      <c r="E98">
        <v>1.3678168487206448</v>
      </c>
      <c r="F98">
        <v>0.24796220497975263</v>
      </c>
    </row>
    <row r="99" spans="1:9" x14ac:dyDescent="0.25">
      <c r="A99" t="s">
        <v>531</v>
      </c>
      <c r="B99">
        <v>48</v>
      </c>
      <c r="C99">
        <v>63.179621848739473</v>
      </c>
      <c r="D99">
        <v>1.316242121848739</v>
      </c>
    </row>
    <row r="100" spans="1:9" ht="13.8" thickBot="1" x14ac:dyDescent="0.3">
      <c r="A100" s="94" t="s">
        <v>532</v>
      </c>
      <c r="B100" s="81">
        <v>49</v>
      </c>
      <c r="C100" s="81">
        <v>64.97999999999999</v>
      </c>
      <c r="D100" s="81"/>
      <c r="E100" s="81"/>
      <c r="F100" s="81"/>
    </row>
    <row r="101" spans="1:9" ht="13.8" thickBot="1" x14ac:dyDescent="0.3"/>
    <row r="102" spans="1:9" x14ac:dyDescent="0.25">
      <c r="A102" s="82"/>
      <c r="B102" s="82" t="s">
        <v>539</v>
      </c>
      <c r="C102" s="82" t="s">
        <v>527</v>
      </c>
      <c r="D102" s="82" t="s">
        <v>540</v>
      </c>
      <c r="E102" s="82" t="s">
        <v>541</v>
      </c>
      <c r="F102" s="82" t="s">
        <v>542</v>
      </c>
      <c r="G102" s="82" t="s">
        <v>543</v>
      </c>
      <c r="H102" s="82" t="s">
        <v>544</v>
      </c>
      <c r="I102" s="82" t="s">
        <v>545</v>
      </c>
    </row>
    <row r="103" spans="1:9" x14ac:dyDescent="0.25">
      <c r="A103" t="s">
        <v>533</v>
      </c>
      <c r="B103">
        <v>2.7331932773109244</v>
      </c>
      <c r="C103">
        <v>0.63102368735623593</v>
      </c>
      <c r="D103">
        <v>4.3313639916783933</v>
      </c>
      <c r="E103">
        <v>7.516004660091275E-5</v>
      </c>
      <c r="F103">
        <v>1.4644351186282702</v>
      </c>
      <c r="G103">
        <v>4.0019514359935791</v>
      </c>
      <c r="H103">
        <v>1.4644351186282702</v>
      </c>
      <c r="I103">
        <v>4.0019514359935791</v>
      </c>
    </row>
    <row r="104" spans="1:9" ht="13.8" thickBot="1" x14ac:dyDescent="0.3">
      <c r="A104" s="81" t="s">
        <v>546</v>
      </c>
      <c r="B104" s="81">
        <v>-0.10871848739495797</v>
      </c>
      <c r="C104" s="81">
        <v>9.2958568420611301E-2</v>
      </c>
      <c r="D104" s="81">
        <v>-1.1695370232363893</v>
      </c>
      <c r="E104" s="81">
        <v>0.2479622049797536</v>
      </c>
      <c r="F104" s="81">
        <v>-0.29562421608042933</v>
      </c>
      <c r="G104" s="81">
        <v>7.8187241290513368E-2</v>
      </c>
      <c r="H104" s="81">
        <v>-0.29562421608042933</v>
      </c>
      <c r="I104" s="81">
        <v>7.8187241290513368E-2</v>
      </c>
    </row>
    <row r="108" spans="1:9" ht="22.8" x14ac:dyDescent="0.4">
      <c r="A108" s="80" t="s">
        <v>552</v>
      </c>
    </row>
    <row r="109" spans="1:9" ht="13.8" x14ac:dyDescent="0.25">
      <c r="A109" s="85">
        <f>AVERAGE(A2:A51)</f>
        <v>6.56</v>
      </c>
    </row>
    <row r="110" spans="1:9" x14ac:dyDescent="0.25">
      <c r="A110" s="86">
        <f>AVERAGE(B2:B51)</f>
        <v>2.02</v>
      </c>
    </row>
    <row r="112" spans="1:9" ht="22.8" x14ac:dyDescent="0.4">
      <c r="A112" s="80" t="s">
        <v>550</v>
      </c>
    </row>
    <row r="113" spans="1:1" x14ac:dyDescent="0.25">
      <c r="A113" s="86">
        <f>MEDIAN(A2:A51)</f>
        <v>6</v>
      </c>
    </row>
    <row r="114" spans="1:1" x14ac:dyDescent="0.25">
      <c r="A114" s="86">
        <f>MEDIAN(B2:B51)</f>
        <v>2</v>
      </c>
    </row>
    <row r="116" spans="1:1" ht="22.8" x14ac:dyDescent="0.4">
      <c r="A116" s="80" t="s">
        <v>551</v>
      </c>
    </row>
    <row r="117" spans="1:1" x14ac:dyDescent="0.25">
      <c r="A117" s="86">
        <f>_xlfn.MODE.SNGL(A2:A51)</f>
        <v>6</v>
      </c>
    </row>
    <row r="118" spans="1:1" x14ac:dyDescent="0.25">
      <c r="A118" s="86">
        <f>_xlfn.MODE.SNGL(B2:B51)</f>
        <v>3</v>
      </c>
    </row>
    <row r="120" spans="1:1" ht="22.8" x14ac:dyDescent="0.4">
      <c r="A120" s="80" t="s">
        <v>553</v>
      </c>
    </row>
    <row r="121" spans="1:1" x14ac:dyDescent="0.25">
      <c r="A121" s="86">
        <f>MAX(A2:A51) - MIN(A2:A51)</f>
        <v>6</v>
      </c>
    </row>
    <row r="122" spans="1:1" x14ac:dyDescent="0.25">
      <c r="A122" s="86">
        <f>MAX(B2:B51) - MIN(B2:B51)</f>
        <v>3</v>
      </c>
    </row>
    <row r="125" spans="1:1" ht="22.8" x14ac:dyDescent="0.4">
      <c r="A125" s="80" t="s">
        <v>554</v>
      </c>
    </row>
    <row r="146" spans="1:1" ht="22.8" x14ac:dyDescent="0.4">
      <c r="A146" s="80" t="s">
        <v>555</v>
      </c>
    </row>
    <row r="167" spans="1:1" ht="22.8" x14ac:dyDescent="0.4">
      <c r="A167" s="80" t="s">
        <v>556</v>
      </c>
    </row>
    <row r="190" spans="1:1" ht="22.8" x14ac:dyDescent="0.4">
      <c r="A190" s="80" t="s">
        <v>557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Form Responses 1</vt:lpstr>
      <vt:lpstr>First Part Questions (1-10) </vt:lpstr>
      <vt:lpstr>Second Part Questions (11-20)</vt:lpstr>
      <vt:lpstr>Cross Tabulation of 2nd Part</vt:lpstr>
      <vt:lpstr>Third Part Questions (21-30)</vt:lpstr>
      <vt:lpstr>Cross Tabulation of 3rd Part</vt:lpstr>
      <vt:lpstr>Fourth Part Questions (31-40) </vt:lpstr>
      <vt:lpstr>Problem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laiba tariq</cp:lastModifiedBy>
  <dcterms:modified xsi:type="dcterms:W3CDTF">2025-05-03T13:01:51Z</dcterms:modified>
</cp:coreProperties>
</file>